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kbl." sheetId="1" state="visible" r:id="rId2"/>
    <sheet name="R1" sheetId="2" state="visible" r:id="rId3"/>
    <sheet name="R2" sheetId="3" state="visible" r:id="rId4"/>
    <sheet name="R8" sheetId="4" state="visible" r:id="rId5"/>
    <sheet name="R9" sheetId="5" state="visible" r:id="rId6"/>
    <sheet name="R10" sheetId="6" state="visible" r:id="rId7"/>
    <sheet name="R12" sheetId="7" state="visible" r:id="rId8"/>
    <sheet name="FG" sheetId="8" state="visible" r:id="rId9"/>
    <sheet name="Faktoren PKW-E" sheetId="9" state="visible" r:id="rId10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<sst xmlns="http://schemas.openxmlformats.org/spreadsheetml/2006/main" count="682" uniqueCount="119">
  <si>
    <t xml:space="preserve">ICRA Schwap e.U.</t>
  </si>
  <si>
    <t xml:space="preserve">Verkehrszählungsort :</t>
  </si>
  <si>
    <t xml:space="preserve">Sandleiten / Schulstraße / Parkstraße (Pregarten)</t>
  </si>
  <si>
    <t xml:space="preserve">Lfd. Nummer :</t>
  </si>
  <si>
    <t xml:space="preserve">Zählzeit :</t>
  </si>
  <si>
    <t xml:space="preserve">6-20</t>
  </si>
  <si>
    <t xml:space="preserve">Datum :</t>
  </si>
  <si>
    <t xml:space="preserve">Sachbearbeiter :</t>
  </si>
  <si>
    <t xml:space="preserve">ICRA / Schwap</t>
  </si>
  <si>
    <t xml:space="preserve">Wetter :</t>
  </si>
  <si>
    <t xml:space="preserve">morgens leichter Regen, dann Sonne, 5-17°</t>
  </si>
  <si>
    <t xml:space="preserve">Anmerkungen :</t>
  </si>
  <si>
    <t xml:space="preserve">VERKEHRSZÄHLUNG - PKW-Einheiten</t>
  </si>
  <si>
    <t xml:space="preserve">Verkehrszählung :</t>
  </si>
  <si>
    <t xml:space="preserve">Zählstelle :</t>
  </si>
  <si>
    <t xml:space="preserve">Richtung :</t>
  </si>
  <si>
    <t xml:space="preserve">R1</t>
  </si>
  <si>
    <t xml:space="preserve">Uhrzeit :</t>
  </si>
  <si>
    <t xml:space="preserve">Bemerkung :</t>
  </si>
  <si>
    <t xml:space="preserve">Dateiname:</t>
  </si>
  <si>
    <t xml:space="preserve">Faktoren</t>
  </si>
  <si>
    <t xml:space="preserve">einsp.</t>
  </si>
  <si>
    <t xml:space="preserve">PKW</t>
  </si>
  <si>
    <t xml:space="preserve">Lin.</t>
  </si>
  <si>
    <t xml:space="preserve">Reis.</t>
  </si>
  <si>
    <t xml:space="preserve">LKW +</t>
  </si>
  <si>
    <t xml:space="preserve">sonst.</t>
  </si>
  <si>
    <t xml:space="preserve">PKW-E</t>
  </si>
  <si>
    <t xml:space="preserve">KFZ</t>
  </si>
  <si>
    <t xml:space="preserve">Zeit</t>
  </si>
  <si>
    <t xml:space="preserve">Rad</t>
  </si>
  <si>
    <t xml:space="preserve">Kombi</t>
  </si>
  <si>
    <t xml:space="preserve">Bus</t>
  </si>
  <si>
    <t xml:space="preserve">LKW</t>
  </si>
  <si>
    <t xml:space="preserve">Anh.</t>
  </si>
  <si>
    <t xml:space="preserve">/ 15 min</t>
  </si>
  <si>
    <t xml:space="preserve">/ 30 min</t>
  </si>
  <si>
    <t xml:space="preserve">/ 1 Std.</t>
  </si>
  <si>
    <t xml:space="preserve">6:00-6:15</t>
  </si>
  <si>
    <t xml:space="preserve">6:15-6:30</t>
  </si>
  <si>
    <t xml:space="preserve">6:30-6:45</t>
  </si>
  <si>
    <t xml:space="preserve">6:45-7:00</t>
  </si>
  <si>
    <t xml:space="preserve">7:00-7:15</t>
  </si>
  <si>
    <t xml:space="preserve">7:15-7:30</t>
  </si>
  <si>
    <t xml:space="preserve">7:30-7:45</t>
  </si>
  <si>
    <t xml:space="preserve">7:45-8:00</t>
  </si>
  <si>
    <t xml:space="preserve">8:00-8:15</t>
  </si>
  <si>
    <t xml:space="preserve">8:15-8:30</t>
  </si>
  <si>
    <t xml:space="preserve">8:30-8:45</t>
  </si>
  <si>
    <t xml:space="preserve">8:45-9:00</t>
  </si>
  <si>
    <t xml:space="preserve">9:00-9:15</t>
  </si>
  <si>
    <t xml:space="preserve">9:15-9:30</t>
  </si>
  <si>
    <t xml:space="preserve">9:30-9:45</t>
  </si>
  <si>
    <t xml:space="preserve">9:45-10:00</t>
  </si>
  <si>
    <t xml:space="preserve">10:00-10:15</t>
  </si>
  <si>
    <t xml:space="preserve">10:15-10:30</t>
  </si>
  <si>
    <t xml:space="preserve">10:30-10:45</t>
  </si>
  <si>
    <t xml:space="preserve">10:45-11:00</t>
  </si>
  <si>
    <t xml:space="preserve">11:00-11:15</t>
  </si>
  <si>
    <t xml:space="preserve">11:15-11:30</t>
  </si>
  <si>
    <t xml:space="preserve">11:30-11:45</t>
  </si>
  <si>
    <t xml:space="preserve">11:45-12:00</t>
  </si>
  <si>
    <t xml:space="preserve">12:00-12:15</t>
  </si>
  <si>
    <t xml:space="preserve">12:15-12:30</t>
  </si>
  <si>
    <t xml:space="preserve">12:30-12:45</t>
  </si>
  <si>
    <t xml:space="preserve">12:45-13:00</t>
  </si>
  <si>
    <t xml:space="preserve">13:00-13:15</t>
  </si>
  <si>
    <t xml:space="preserve">13:15-13:30</t>
  </si>
  <si>
    <t xml:space="preserve">13:30-13:45</t>
  </si>
  <si>
    <t xml:space="preserve">13:45-14:00</t>
  </si>
  <si>
    <t xml:space="preserve">14:00-14:15</t>
  </si>
  <si>
    <t xml:space="preserve">14:15-14:30</t>
  </si>
  <si>
    <t xml:space="preserve">14:30-14:45</t>
  </si>
  <si>
    <t xml:space="preserve">14:45-15:00</t>
  </si>
  <si>
    <t xml:space="preserve">15:00-15:15</t>
  </si>
  <si>
    <t xml:space="preserve">15:15-15:30</t>
  </si>
  <si>
    <t xml:space="preserve">15:30-15:45</t>
  </si>
  <si>
    <t xml:space="preserve">15:45-16:00</t>
  </si>
  <si>
    <t xml:space="preserve">16:00-16:15</t>
  </si>
  <si>
    <t xml:space="preserve">16:15-16:30</t>
  </si>
  <si>
    <t xml:space="preserve">16:30-16:45</t>
  </si>
  <si>
    <t xml:space="preserve">16:45-17:00</t>
  </si>
  <si>
    <t xml:space="preserve">17:00-17:15</t>
  </si>
  <si>
    <t xml:space="preserve">17:15-17:30</t>
  </si>
  <si>
    <t xml:space="preserve">17:30-17:45</t>
  </si>
  <si>
    <t xml:space="preserve">17:45-18:00</t>
  </si>
  <si>
    <t xml:space="preserve">18:00-18:15</t>
  </si>
  <si>
    <t xml:space="preserve">18:15-18:30</t>
  </si>
  <si>
    <t xml:space="preserve">18:30-18:45</t>
  </si>
  <si>
    <t xml:space="preserve">18:45-19:00</t>
  </si>
  <si>
    <t xml:space="preserve">19:00-19:15</t>
  </si>
  <si>
    <t xml:space="preserve">19:15-19:30</t>
  </si>
  <si>
    <t xml:space="preserve">19:30-19:45</t>
  </si>
  <si>
    <t xml:space="preserve">19:45-20:00</t>
  </si>
  <si>
    <t xml:space="preserve">SUMME :</t>
  </si>
  <si>
    <t xml:space="preserve">R2</t>
  </si>
  <si>
    <t xml:space="preserve">R8</t>
  </si>
  <si>
    <t xml:space="preserve">R9</t>
  </si>
  <si>
    <t xml:space="preserve">R10</t>
  </si>
  <si>
    <t xml:space="preserve">R12</t>
  </si>
  <si>
    <t xml:space="preserve">VERKEHRSZÄHLUNG – Fußgänger/Radfahrer</t>
  </si>
  <si>
    <t xml:space="preserve">A</t>
  </si>
  <si>
    <t xml:space="preserve">C</t>
  </si>
  <si>
    <t xml:space="preserve">D</t>
  </si>
  <si>
    <t xml:space="preserve">Z</t>
  </si>
  <si>
    <t xml:space="preserve">FG/R</t>
  </si>
  <si>
    <t xml:space="preserve">FG</t>
  </si>
  <si>
    <t xml:space="preserve">Faktoren für Umrechnung PKW-Einheiten nach RVS 03.05.11 </t>
  </si>
  <si>
    <t xml:space="preserve">einsp. KFZ</t>
  </si>
  <si>
    <t xml:space="preserve">PKW / Kombi</t>
  </si>
  <si>
    <t xml:space="preserve">Linienbus</t>
  </si>
  <si>
    <t xml:space="preserve">Reisebus</t>
  </si>
  <si>
    <t xml:space="preserve">LKW mit Anhänger</t>
  </si>
  <si>
    <t xml:space="preserve">sonstige KFZ / Traktoren</t>
  </si>
  <si>
    <t xml:space="preserve">Faktoren für Umrechnung PKW-Einheiten nach RVS 03.05.31 (VLSA)</t>
  </si>
  <si>
    <t xml:space="preserve">Motorrad</t>
  </si>
  <si>
    <t xml:space="preserve">Lkw, Bus Traktor</t>
  </si>
  <si>
    <t xml:space="preserve">Gelenkbus, Sattelschlepper</t>
  </si>
  <si>
    <t xml:space="preserve">Lkw mit Anh. oder Traktor mit Anh.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</si>
</sst>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[$$-409]#,##0.00;[RED]\-[$$-409]#,##0.00"/>
    <numFmt numFmtId="166" formatCode="d/m/yy"/>
    <numFmt numFmtId="167" formatCode="#\:##\-#\:##"/>
    <numFmt numFmtId="168" formatCode="dd/mm/yyyy"/>
    <numFmt numFmtId="169" formatCode="General"/>
    <numFmt numFmtId="170" formatCode="0.0"/>
    <numFmt numFmtId="171" formatCode="@"/>
    <numFmt numFmtId="172" formatCode="#,##0.0"/>
  </numFmts>
  <fonts count="2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u val="single"/>
      <sz val="10"/>
      <color rgb="FF000000"/>
      <name val="Arial"/>
      <family val="0"/>
      <charset val="1"/>
    </font>
    <font>
      <b val="true"/>
      <i val="true"/>
      <sz val="16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20"/>
      <name val="Arial"/>
      <family val="0"/>
      <charset val="1"/>
    </font>
    <font>
      <b val="true"/>
      <sz val="18"/>
      <name val="Arial"/>
      <family val="0"/>
      <charset val="1"/>
    </font>
    <font>
      <sz val="15"/>
      <name val="Arial"/>
      <family val="0"/>
      <charset val="1"/>
    </font>
    <font>
      <sz val="8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2"/>
      <name val="Arial"/>
      <family val="0"/>
      <charset val="1"/>
    </font>
    <font>
      <sz val="7"/>
      <name val="Arial"/>
      <family val="0"/>
      <charset val="1"/>
    </font>
    <font>
      <b val="true"/>
      <sz val="8"/>
      <color rgb="FFFF0000"/>
      <name val="Arial"/>
      <family val="0"/>
      <charset val="1"/>
    </font>
    <font>
      <sz val="10"/>
      <name val="Segoe UI"/>
      <family val="2"/>
      <charset val="1"/>
    </font>
    <font>
      <b val="true"/>
      <sz val="14"/>
      <name val="Segoe UI"/>
      <family val="2"/>
      <charset val="1"/>
    </font>
    <font>
      <b val="true"/>
      <sz val="12"/>
      <name val="Segoe UI"/>
      <family val="2"/>
      <charset val="1"/>
    </font>
    <font>
      <b val="true"/>
      <sz val="10"/>
      <name val="Segoe UI"/>
      <family val="2"/>
      <charset val="1"/>
    </font>
    <font>
      <sz val="6"/>
      <name val="Arial"/>
      <family val="2"/>
      <charset val="1"/>
    </font>
    <font>
      <b val="true"/>
      <sz val="10"/>
      <name val="Arial"/>
      <family val="2"/>
      <charset val="1"/>
    </font>
    <font>
      <sz val="8"/>
      <name val="Segoe U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CCFFCC"/>
        <bgColor rgb="FFCCFFFF"/>
      </patternFill>
    </fill>
  </fills>
  <borders count="25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/>
      <bottom style="hair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/>
      <top/>
      <bottom style="hair"/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 style="hair"/>
      <top style="hair"/>
      <bottom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5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center" vertical="bottom" textRotation="0" wrapText="false" indent="0" shrinkToFit="false"/>
    </xf>
    <xf numFmtId="164" fontId="5" fillId="0" borderId="0" applyFont="true" applyBorder="false" applyAlignment="true" applyProtection="false">
      <alignment horizontal="center" vertical="bottom" textRotation="90" wrapText="false" indent="0" shrinkToFit="false"/>
    </xf>
  </cellStyleXfs>
  <cellXfs count="10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3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4" fontId="12" fillId="3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3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4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15" fillId="0" borderId="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7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6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11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11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11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1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9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0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20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7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0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21" fillId="0" borderId="16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7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7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2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7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7" fillId="0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7" fillId="0" borderId="1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23" fillId="0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0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23" fillId="0" borderId="2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23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0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3" fillId="0" borderId="2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17" fillId="0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2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rgebnis 1" xfId="20"/>
    <cellStyle name="Ergebnis2" xfId="21"/>
    <cellStyle name="Überschrift 3" xfId="22"/>
    <cellStyle name="Überschrift1" xfId="23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73080</xdr:colOff>
      <xdr:row>41</xdr:row>
      <xdr:rowOff>113040</xdr:rowOff>
    </xdr:from>
    <xdr:to>
      <xdr:col>6</xdr:col>
      <xdr:colOff>385920</xdr:colOff>
      <xdr:row>43</xdr:row>
      <xdr:rowOff>117720</xdr:rowOff>
    </xdr:to>
    <xdr:sp>
      <xdr:nvSpPr>
        <xdr:cNvPr id="0" name="Shape 5"/>
        <xdr:cNvSpPr/>
      </xdr:nvSpPr>
      <xdr:spPr>
        <a:xfrm>
          <a:off x="2279880" y="7070760"/>
          <a:ext cx="2405520" cy="328680"/>
        </a:xfrm>
        <a:prstGeom prst="rect">
          <a:avLst/>
        </a:prstGeom>
        <a:solidFill>
          <a:srgbClr val="ffffff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76320</xdr:colOff>
      <xdr:row>32</xdr:row>
      <xdr:rowOff>19080</xdr:rowOff>
    </xdr:from>
    <xdr:to>
      <xdr:col>1</xdr:col>
      <xdr:colOff>59400</xdr:colOff>
      <xdr:row>34</xdr:row>
      <xdr:rowOff>20160</xdr:rowOff>
    </xdr:to>
    <xdr:sp>
      <xdr:nvSpPr>
        <xdr:cNvPr id="1" name="Shape 6"/>
        <xdr:cNvSpPr/>
      </xdr:nvSpPr>
      <xdr:spPr>
        <a:xfrm>
          <a:off x="76320" y="5519520"/>
          <a:ext cx="1938960" cy="324720"/>
        </a:xfrm>
        <a:prstGeom prst="rect">
          <a:avLst/>
        </a:prstGeom>
        <a:solidFill>
          <a:srgbClr val="ffffff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132840</xdr:colOff>
      <xdr:row>31</xdr:row>
      <xdr:rowOff>160560</xdr:rowOff>
    </xdr:from>
    <xdr:to>
      <xdr:col>8</xdr:col>
      <xdr:colOff>1202400</xdr:colOff>
      <xdr:row>33</xdr:row>
      <xdr:rowOff>128520</xdr:rowOff>
    </xdr:to>
    <xdr:sp>
      <xdr:nvSpPr>
        <xdr:cNvPr id="2" name="Shape 7"/>
        <xdr:cNvSpPr/>
      </xdr:nvSpPr>
      <xdr:spPr>
        <a:xfrm>
          <a:off x="5071320" y="5499000"/>
          <a:ext cx="1245960" cy="291960"/>
        </a:xfrm>
        <a:prstGeom prst="rect">
          <a:avLst/>
        </a:prstGeom>
        <a:solidFill>
          <a:srgbClr val="ffffff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27.75"/>
    <col collapsed="false" customWidth="true" hidden="false" outlineLevel="0" max="2" min="2" style="1" width="3.56"/>
    <col collapsed="false" customWidth="true" hidden="false" outlineLevel="0" max="4" min="3" style="1" width="9.06"/>
    <col collapsed="false" customWidth="true" hidden="false" outlineLevel="0" max="5" min="5" style="1" width="2.5"/>
    <col collapsed="false" customWidth="true" hidden="false" outlineLevel="0" max="7" min="6" style="1" width="9.06"/>
    <col collapsed="false" customWidth="true" hidden="false" outlineLevel="0" max="8" min="8" style="1" width="2.5"/>
    <col collapsed="false" customWidth="true" hidden="false" outlineLevel="0" max="9" min="9" style="1" width="19.6"/>
    <col collapsed="false" customWidth="true" hidden="false" outlineLevel="0" max="10" min="10" style="1" width="8.83"/>
    <col collapsed="false" customWidth="true" hidden="false" outlineLevel="0" max="11" min="11" style="1" width="7.75"/>
    <col collapsed="false" customWidth="true" hidden="false" outlineLevel="0" max="26" min="12" style="1" width="9.64"/>
    <col collapsed="false" customWidth="true" hidden="false" outlineLevel="0" max="257" min="27" style="1" width="15.97"/>
  </cols>
  <sheetData>
    <row r="1" customFormat="false" ht="12.7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3"/>
      <c r="J1" s="3"/>
      <c r="K1" s="4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2.7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3"/>
      <c r="J2" s="3"/>
      <c r="K2" s="4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2.7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3"/>
      <c r="J3" s="3"/>
      <c r="K3" s="4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2.75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3"/>
      <c r="J4" s="3"/>
      <c r="K4" s="4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24.45" hidden="false" customHeight="true" outlineLevel="0" collapsed="false">
      <c r="A5" s="5" t="s">
        <v>0</v>
      </c>
      <c r="B5" s="5"/>
      <c r="C5" s="5"/>
      <c r="D5" s="5"/>
      <c r="E5" s="5"/>
      <c r="F5" s="5"/>
      <c r="G5" s="5"/>
      <c r="H5" s="5"/>
      <c r="I5" s="5"/>
      <c r="J5" s="5"/>
      <c r="K5" s="4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2.75" hidden="false" customHeight="true" outlineLevel="0" collapsed="false">
      <c r="A6" s="2"/>
      <c r="B6" s="2"/>
      <c r="C6" s="6"/>
      <c r="D6" s="2"/>
      <c r="E6" s="2"/>
      <c r="F6" s="2"/>
      <c r="G6" s="2"/>
      <c r="H6" s="2"/>
      <c r="I6" s="3"/>
      <c r="J6" s="3"/>
      <c r="K6" s="4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2.75" hidden="false" customHeight="true" outlineLevel="0" collapsed="false">
      <c r="A7" s="2"/>
      <c r="B7" s="2"/>
      <c r="C7" s="6"/>
      <c r="D7" s="2"/>
      <c r="E7" s="2"/>
      <c r="F7" s="2"/>
      <c r="G7" s="2"/>
      <c r="H7" s="2"/>
      <c r="I7" s="3"/>
      <c r="J7" s="3"/>
      <c r="K7" s="4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.75" hidden="false" customHeight="true" outlineLevel="0" collapsed="false">
      <c r="A8" s="2"/>
      <c r="B8" s="7" t="s">
        <v>1</v>
      </c>
      <c r="C8" s="8" t="s">
        <v>2</v>
      </c>
      <c r="D8" s="9"/>
      <c r="E8" s="9"/>
      <c r="F8" s="9"/>
      <c r="G8" s="9"/>
      <c r="H8" s="9"/>
      <c r="I8" s="9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customFormat="false" ht="12.75" hidden="false" customHeight="true" outlineLevel="0" collapsed="false">
      <c r="A9" s="2"/>
      <c r="B9" s="2"/>
      <c r="C9" s="4"/>
      <c r="D9" s="2"/>
      <c r="E9" s="2"/>
      <c r="F9" s="2"/>
      <c r="G9" s="2"/>
      <c r="H9" s="2"/>
      <c r="I9" s="3"/>
      <c r="J9" s="3"/>
      <c r="K9" s="4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3.5" hidden="false" customHeight="true" outlineLevel="0" collapsed="false">
      <c r="A10" s="2"/>
      <c r="B10" s="7" t="s">
        <v>3</v>
      </c>
      <c r="C10" s="8"/>
      <c r="D10" s="11"/>
      <c r="E10" s="2"/>
      <c r="F10" s="2"/>
      <c r="G10" s="2"/>
      <c r="H10" s="2"/>
      <c r="I10" s="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2.75" hidden="false" customHeight="true" outlineLevel="0" collapsed="false">
      <c r="A11" s="2"/>
      <c r="B11" s="7" t="s">
        <v>4</v>
      </c>
      <c r="C11" s="8" t="s">
        <v>5</v>
      </c>
      <c r="D11" s="11"/>
      <c r="E11" s="2"/>
      <c r="F11" s="2"/>
      <c r="G11" s="2"/>
      <c r="H11" s="7" t="s">
        <v>6</v>
      </c>
      <c r="I11" s="12" t="n">
        <v>45036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20.5" hidden="false" customHeight="true" outlineLevel="0" collapsed="false">
      <c r="A12" s="2"/>
      <c r="B12" s="7" t="s">
        <v>7</v>
      </c>
      <c r="C12" s="8" t="s">
        <v>8</v>
      </c>
      <c r="D12" s="13"/>
      <c r="E12" s="2"/>
      <c r="F12" s="2"/>
      <c r="G12" s="2"/>
      <c r="H12" s="7" t="s">
        <v>9</v>
      </c>
      <c r="I12" s="14" t="s">
        <v>10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2.75" hidden="false" customHeight="true" outlineLevel="0" collapsed="false"/>
    <row r="14" customFormat="false" ht="14.65" hidden="false" customHeight="false" outlineLevel="0" collapsed="false">
      <c r="B14" s="15" t="s">
        <v>11</v>
      </c>
      <c r="C14" s="16"/>
      <c r="D14" s="16"/>
      <c r="E14" s="16"/>
      <c r="F14" s="16"/>
      <c r="G14" s="16"/>
      <c r="H14" s="16"/>
      <c r="I14" s="16"/>
    </row>
    <row r="15" customFormat="false" ht="12.75" hidden="false" customHeight="true" outlineLevel="0" collapsed="false"/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2">
    <mergeCell ref="A5:J5"/>
    <mergeCell ref="C14:I1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14.48"/>
    <col collapsed="false" customWidth="true" hidden="false" outlineLevel="0" max="9" min="2" style="1" width="6.94"/>
    <col collapsed="false" customWidth="true" hidden="false" outlineLevel="0" max="13" min="10" style="1" width="7.5"/>
    <col collapsed="false" customWidth="true" hidden="false" outlineLevel="0" max="31" min="14" style="1" width="13.28"/>
    <col collapsed="false" customWidth="true" hidden="false" outlineLevel="0" max="257" min="32" style="1" width="15.97"/>
  </cols>
  <sheetData>
    <row r="1" customFormat="false" ht="14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2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9.35" hidden="false" customHeight="true" outlineLevel="0" collapsed="false">
      <c r="A3" s="17" t="s">
        <v>0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7" hidden="false" customHeight="true" outlineLevel="0" collapsed="false">
      <c r="A4" s="18" t="s">
        <v>12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4.25" hidden="false" customHeight="true" outlineLevel="0" collapsed="false">
      <c r="A5" s="19" t="s">
        <v>6</v>
      </c>
      <c r="B5" s="20"/>
      <c r="C5" s="21"/>
      <c r="D5" s="22"/>
      <c r="E5" s="22"/>
      <c r="F5" s="20"/>
      <c r="G5" s="23"/>
      <c r="H5" s="23"/>
      <c r="I5" s="21"/>
      <c r="J5" s="22" t="s">
        <v>3</v>
      </c>
      <c r="K5" s="20" t="n">
        <v>0</v>
      </c>
      <c r="L5" s="24"/>
      <c r="M5" s="25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20" hidden="false" customHeight="false" outlineLevel="0" collapsed="false">
      <c r="A6" s="26" t="n">
        <f aca="false">'Deckbl.'!I11</f>
        <v>45036</v>
      </c>
      <c r="B6" s="3"/>
      <c r="C6" s="2"/>
      <c r="D6" s="2"/>
      <c r="E6" s="3"/>
      <c r="F6" s="3"/>
      <c r="G6" s="3"/>
      <c r="H6" s="3"/>
      <c r="I6" s="2"/>
      <c r="J6" s="7" t="s">
        <v>9</v>
      </c>
      <c r="K6" s="27" t="str">
        <f aca="false">'Deckbl.'!I12</f>
        <v>morgens leichter Regen, dann Sonne, 5-17°</v>
      </c>
      <c r="L6" s="27"/>
      <c r="M6" s="2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4.25" hidden="false" customHeight="true" outlineLevel="0" collapsed="false">
      <c r="A7" s="28"/>
      <c r="B7" s="7" t="s">
        <v>13</v>
      </c>
      <c r="C7" s="29" t="str">
        <f aca="false">'Deckbl.'!C8</f>
        <v>Sandleiten / Schulstraße / Parkstraße (Pregarten)</v>
      </c>
      <c r="D7" s="30"/>
      <c r="E7" s="31"/>
      <c r="F7" s="31"/>
      <c r="G7" s="31"/>
      <c r="H7" s="31"/>
      <c r="I7" s="32"/>
      <c r="J7" s="29"/>
      <c r="K7" s="31"/>
      <c r="L7" s="31"/>
      <c r="M7" s="33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4.25" hidden="false" customHeight="true" outlineLevel="0" collapsed="false">
      <c r="A8" s="28"/>
      <c r="B8" s="7" t="s">
        <v>14</v>
      </c>
      <c r="C8" s="30"/>
      <c r="D8" s="30"/>
      <c r="E8" s="31"/>
      <c r="F8" s="31"/>
      <c r="G8" s="31"/>
      <c r="H8" s="31"/>
      <c r="I8" s="32" t="s">
        <v>7</v>
      </c>
      <c r="J8" s="29" t="s">
        <v>8</v>
      </c>
      <c r="K8" s="34"/>
      <c r="L8" s="31"/>
      <c r="M8" s="33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4.25" hidden="false" customHeight="true" outlineLevel="0" collapsed="false">
      <c r="A9" s="28"/>
      <c r="B9" s="7" t="s">
        <v>15</v>
      </c>
      <c r="C9" s="35" t="s">
        <v>16</v>
      </c>
      <c r="D9" s="4"/>
      <c r="E9" s="3"/>
      <c r="F9" s="3"/>
      <c r="G9" s="3"/>
      <c r="H9" s="3"/>
      <c r="I9" s="7" t="s">
        <v>17</v>
      </c>
      <c r="J9" s="29" t="str">
        <f aca="false">'Deckbl.'!C11</f>
        <v>6-20</v>
      </c>
      <c r="K9" s="31"/>
      <c r="L9" s="31"/>
      <c r="M9" s="33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4.25" hidden="false" customHeight="true" outlineLevel="0" collapsed="false">
      <c r="A10" s="28"/>
      <c r="B10" s="32" t="s">
        <v>18</v>
      </c>
      <c r="C10" s="36"/>
      <c r="D10" s="30"/>
      <c r="E10" s="31"/>
      <c r="F10" s="31"/>
      <c r="G10" s="31"/>
      <c r="H10" s="31"/>
      <c r="I10" s="32" t="s">
        <v>19</v>
      </c>
      <c r="J10" s="29"/>
      <c r="K10" s="31"/>
      <c r="L10" s="29"/>
      <c r="M10" s="33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4.25" hidden="false" customHeight="true" outlineLevel="0" collapsed="false">
      <c r="A11" s="37" t="s">
        <v>20</v>
      </c>
      <c r="B11" s="38" t="n">
        <v>0.5</v>
      </c>
      <c r="C11" s="38" t="n">
        <v>1</v>
      </c>
      <c r="D11" s="38" t="n">
        <f aca="false">'Faktoren PKW-E'!B16</f>
        <v>1</v>
      </c>
      <c r="E11" s="38" t="n">
        <v>1.5</v>
      </c>
      <c r="F11" s="38" t="n">
        <v>1.5</v>
      </c>
      <c r="G11" s="38" t="n">
        <v>1.5</v>
      </c>
      <c r="H11" s="38" t="n">
        <v>2</v>
      </c>
      <c r="I11" s="38" t="n">
        <v>1.5</v>
      </c>
      <c r="J11" s="39"/>
      <c r="K11" s="39"/>
      <c r="L11" s="39"/>
      <c r="M11" s="39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4.25" hidden="false" customHeight="true" outlineLevel="0" collapsed="false">
      <c r="A12" s="40"/>
      <c r="B12" s="19"/>
      <c r="C12" s="41" t="s">
        <v>21</v>
      </c>
      <c r="D12" s="19" t="s">
        <v>22</v>
      </c>
      <c r="E12" s="41" t="s">
        <v>23</v>
      </c>
      <c r="F12" s="41" t="s">
        <v>24</v>
      </c>
      <c r="G12" s="41"/>
      <c r="H12" s="41" t="s">
        <v>25</v>
      </c>
      <c r="I12" s="41" t="s">
        <v>26</v>
      </c>
      <c r="J12" s="42" t="s">
        <v>27</v>
      </c>
      <c r="K12" s="42" t="s">
        <v>27</v>
      </c>
      <c r="L12" s="42" t="s">
        <v>27</v>
      </c>
      <c r="M12" s="42" t="s">
        <v>28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4.25" hidden="false" customHeight="true" outlineLevel="0" collapsed="false">
      <c r="A13" s="43" t="s">
        <v>29</v>
      </c>
      <c r="B13" s="41" t="s">
        <v>30</v>
      </c>
      <c r="C13" s="41" t="s">
        <v>28</v>
      </c>
      <c r="D13" s="41" t="s">
        <v>31</v>
      </c>
      <c r="E13" s="41" t="s">
        <v>32</v>
      </c>
      <c r="F13" s="41" t="s">
        <v>32</v>
      </c>
      <c r="G13" s="41" t="s">
        <v>33</v>
      </c>
      <c r="H13" s="41" t="s">
        <v>34</v>
      </c>
      <c r="I13" s="41" t="s">
        <v>28</v>
      </c>
      <c r="J13" s="42" t="s">
        <v>35</v>
      </c>
      <c r="K13" s="42" t="s">
        <v>36</v>
      </c>
      <c r="L13" s="42" t="s">
        <v>37</v>
      </c>
      <c r="M13" s="42" t="s">
        <v>37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4.25" hidden="false" customHeight="true" outlineLevel="0" collapsed="false">
      <c r="A14" s="44" t="s">
        <v>38</v>
      </c>
      <c r="B14" s="45" t="n">
        <v>0</v>
      </c>
      <c r="C14" s="45" t="n">
        <v>0</v>
      </c>
      <c r="D14" s="45" t="n">
        <v>1</v>
      </c>
      <c r="E14" s="45" t="n">
        <v>0</v>
      </c>
      <c r="F14" s="45" t="n">
        <v>0</v>
      </c>
      <c r="G14" s="45" t="n">
        <v>0</v>
      </c>
      <c r="H14" s="45" t="n">
        <v>0</v>
      </c>
      <c r="I14" s="45" t="n">
        <v>0</v>
      </c>
      <c r="J14" s="46" t="n">
        <f aca="false">SUMPRODUCT(B14:I14,$B$11:$I$11)</f>
        <v>1</v>
      </c>
      <c r="K14" s="47"/>
      <c r="L14" s="47"/>
      <c r="M14" s="47"/>
      <c r="N14" s="48"/>
      <c r="O14" s="49"/>
      <c r="P14" s="49"/>
      <c r="Q14" s="49"/>
      <c r="R14" s="49"/>
      <c r="S14" s="49"/>
      <c r="T14" s="49"/>
      <c r="U14" s="49"/>
      <c r="V14" s="49"/>
      <c r="W14" s="49"/>
      <c r="X14" s="48"/>
      <c r="Y14" s="48"/>
      <c r="Z14" s="48"/>
    </row>
    <row r="15" customFormat="false" ht="14.25" hidden="false" customHeight="true" outlineLevel="0" collapsed="false">
      <c r="A15" s="44" t="s">
        <v>39</v>
      </c>
      <c r="B15" s="45" t="n">
        <v>0</v>
      </c>
      <c r="C15" s="45" t="n">
        <v>0</v>
      </c>
      <c r="D15" s="45" t="n">
        <v>4</v>
      </c>
      <c r="E15" s="45" t="n">
        <v>0</v>
      </c>
      <c r="F15" s="45" t="n">
        <v>0</v>
      </c>
      <c r="G15" s="45" t="n">
        <v>0</v>
      </c>
      <c r="H15" s="45" t="n">
        <v>0</v>
      </c>
      <c r="I15" s="45" t="n">
        <v>0</v>
      </c>
      <c r="J15" s="46" t="n">
        <f aca="false">SUMPRODUCT(B15:I15,$B$11:$I$11)</f>
        <v>4</v>
      </c>
      <c r="K15" s="50" t="n">
        <f aca="false">J15+J14</f>
        <v>5</v>
      </c>
      <c r="L15" s="51"/>
      <c r="M15" s="51"/>
      <c r="N15" s="48"/>
      <c r="O15" s="49"/>
      <c r="P15" s="49"/>
      <c r="Q15" s="49"/>
      <c r="R15" s="49"/>
      <c r="S15" s="49"/>
      <c r="T15" s="49"/>
      <c r="U15" s="49"/>
      <c r="V15" s="49"/>
      <c r="W15" s="49"/>
      <c r="X15" s="48"/>
      <c r="Y15" s="48"/>
      <c r="Z15" s="48"/>
    </row>
    <row r="16" customFormat="false" ht="14.25" hidden="false" customHeight="true" outlineLevel="0" collapsed="false">
      <c r="A16" s="44" t="s">
        <v>40</v>
      </c>
      <c r="B16" s="45" t="n">
        <v>1</v>
      </c>
      <c r="C16" s="45" t="n">
        <v>0</v>
      </c>
      <c r="D16" s="45" t="n">
        <v>1</v>
      </c>
      <c r="E16" s="45" t="n">
        <v>0</v>
      </c>
      <c r="F16" s="45" t="n">
        <v>0</v>
      </c>
      <c r="G16" s="45" t="n">
        <v>0</v>
      </c>
      <c r="H16" s="45" t="n">
        <v>0</v>
      </c>
      <c r="I16" s="45" t="n">
        <v>0</v>
      </c>
      <c r="J16" s="46" t="n">
        <f aca="false">SUMPRODUCT(B16:I16,$B$11:$I$11)</f>
        <v>1.5</v>
      </c>
      <c r="K16" s="47"/>
      <c r="L16" s="50"/>
      <c r="M16" s="50"/>
      <c r="N16" s="48"/>
      <c r="O16" s="49"/>
      <c r="P16" s="49"/>
      <c r="Q16" s="49"/>
      <c r="R16" s="49"/>
      <c r="S16" s="49"/>
      <c r="T16" s="49"/>
      <c r="U16" s="49"/>
      <c r="V16" s="49"/>
      <c r="W16" s="49"/>
      <c r="X16" s="48"/>
      <c r="Y16" s="48"/>
      <c r="Z16" s="48"/>
    </row>
    <row r="17" customFormat="false" ht="14.25" hidden="false" customHeight="true" outlineLevel="0" collapsed="false">
      <c r="A17" s="44" t="s">
        <v>41</v>
      </c>
      <c r="B17" s="45" t="n">
        <v>0</v>
      </c>
      <c r="C17" s="45" t="n">
        <v>0</v>
      </c>
      <c r="D17" s="45" t="n">
        <v>2</v>
      </c>
      <c r="E17" s="45" t="n">
        <v>0</v>
      </c>
      <c r="F17" s="45" t="n">
        <v>0</v>
      </c>
      <c r="G17" s="45" t="n">
        <v>0</v>
      </c>
      <c r="H17" s="45" t="n">
        <v>0</v>
      </c>
      <c r="I17" s="45" t="n">
        <v>0</v>
      </c>
      <c r="J17" s="46" t="n">
        <f aca="false">SUMPRODUCT(B17:I17,$B$11:$I$11)</f>
        <v>2</v>
      </c>
      <c r="K17" s="50" t="n">
        <f aca="false">J17+J16</f>
        <v>3.5</v>
      </c>
      <c r="L17" s="50" t="n">
        <f aca="false">SUM(J14:J17)</f>
        <v>8.5</v>
      </c>
      <c r="M17" s="50" t="n">
        <f aca="false">SUM(C14:I17)</f>
        <v>8</v>
      </c>
      <c r="N17" s="48"/>
      <c r="O17" s="49"/>
      <c r="P17" s="49"/>
      <c r="Q17" s="49"/>
      <c r="R17" s="49"/>
      <c r="S17" s="49"/>
      <c r="T17" s="49"/>
      <c r="U17" s="49"/>
      <c r="V17" s="49"/>
      <c r="W17" s="49"/>
      <c r="X17" s="48"/>
      <c r="Y17" s="48"/>
      <c r="Z17" s="48"/>
    </row>
    <row r="18" customFormat="false" ht="14.25" hidden="false" customHeight="true" outlineLevel="0" collapsed="false">
      <c r="A18" s="44" t="s">
        <v>42</v>
      </c>
      <c r="B18" s="45" t="n">
        <v>0</v>
      </c>
      <c r="C18" s="45" t="n">
        <v>0</v>
      </c>
      <c r="D18" s="45" t="n">
        <v>0</v>
      </c>
      <c r="E18" s="45" t="n">
        <v>0</v>
      </c>
      <c r="F18" s="45" t="n">
        <v>0</v>
      </c>
      <c r="G18" s="45" t="n">
        <v>0</v>
      </c>
      <c r="H18" s="45" t="n">
        <v>0</v>
      </c>
      <c r="I18" s="45" t="n">
        <v>0</v>
      </c>
      <c r="J18" s="46" t="n">
        <f aca="false">SUMPRODUCT(B18:I18,$B$11:$I$11)</f>
        <v>0</v>
      </c>
      <c r="K18" s="47"/>
      <c r="L18" s="47"/>
      <c r="M18" s="47"/>
      <c r="N18" s="48"/>
      <c r="O18" s="49"/>
      <c r="P18" s="49"/>
      <c r="Q18" s="49"/>
      <c r="R18" s="49"/>
      <c r="S18" s="49"/>
      <c r="T18" s="49"/>
      <c r="U18" s="49"/>
      <c r="V18" s="49"/>
      <c r="W18" s="49"/>
      <c r="X18" s="48"/>
      <c r="Y18" s="48"/>
      <c r="Z18" s="48"/>
    </row>
    <row r="19" customFormat="false" ht="14.25" hidden="false" customHeight="true" outlineLevel="0" collapsed="false">
      <c r="A19" s="44" t="s">
        <v>43</v>
      </c>
      <c r="B19" s="45" t="n">
        <v>0</v>
      </c>
      <c r="C19" s="45" t="n">
        <v>0</v>
      </c>
      <c r="D19" s="45" t="n">
        <v>7</v>
      </c>
      <c r="E19" s="45" t="n">
        <v>0</v>
      </c>
      <c r="F19" s="45" t="n">
        <v>0</v>
      </c>
      <c r="G19" s="45" t="n">
        <v>0</v>
      </c>
      <c r="H19" s="45" t="n">
        <v>0</v>
      </c>
      <c r="I19" s="45" t="n">
        <v>0</v>
      </c>
      <c r="J19" s="46" t="n">
        <f aca="false">SUMPRODUCT(B19:I19,$B$11:$I$11)</f>
        <v>7</v>
      </c>
      <c r="K19" s="50" t="n">
        <f aca="false">J19+J18</f>
        <v>7</v>
      </c>
      <c r="L19" s="51"/>
      <c r="M19" s="51"/>
      <c r="N19" s="48"/>
      <c r="O19" s="49"/>
      <c r="P19" s="49"/>
      <c r="Q19" s="49"/>
      <c r="R19" s="49"/>
      <c r="S19" s="49"/>
      <c r="T19" s="49"/>
      <c r="U19" s="49"/>
      <c r="V19" s="49"/>
      <c r="W19" s="49"/>
      <c r="X19" s="48"/>
      <c r="Y19" s="48"/>
      <c r="Z19" s="48"/>
    </row>
    <row r="20" customFormat="false" ht="14.25" hidden="false" customHeight="true" outlineLevel="0" collapsed="false">
      <c r="A20" s="44" t="s">
        <v>44</v>
      </c>
      <c r="B20" s="45" t="n">
        <v>0</v>
      </c>
      <c r="C20" s="45" t="n">
        <v>0</v>
      </c>
      <c r="D20" s="45" t="n">
        <v>2</v>
      </c>
      <c r="E20" s="45" t="n">
        <v>0</v>
      </c>
      <c r="F20" s="45" t="n">
        <v>0</v>
      </c>
      <c r="G20" s="45" t="n">
        <v>0</v>
      </c>
      <c r="H20" s="45" t="n">
        <v>0</v>
      </c>
      <c r="I20" s="45" t="n">
        <v>0</v>
      </c>
      <c r="J20" s="46" t="n">
        <f aca="false">SUMPRODUCT(B20:I20,$B$11:$I$11)</f>
        <v>2</v>
      </c>
      <c r="K20" s="47"/>
      <c r="L20" s="50"/>
      <c r="M20" s="50"/>
      <c r="N20" s="48"/>
      <c r="O20" s="49"/>
      <c r="P20" s="49"/>
      <c r="Q20" s="49"/>
      <c r="R20" s="49"/>
      <c r="S20" s="49"/>
      <c r="T20" s="49"/>
      <c r="U20" s="49"/>
      <c r="V20" s="49"/>
      <c r="W20" s="49"/>
      <c r="X20" s="48"/>
      <c r="Y20" s="48"/>
      <c r="Z20" s="48"/>
    </row>
    <row r="21" customFormat="false" ht="14.25" hidden="false" customHeight="true" outlineLevel="0" collapsed="false">
      <c r="A21" s="44" t="s">
        <v>45</v>
      </c>
      <c r="B21" s="45" t="n">
        <v>0</v>
      </c>
      <c r="C21" s="45" t="n">
        <v>0</v>
      </c>
      <c r="D21" s="45" t="n">
        <v>4</v>
      </c>
      <c r="E21" s="45" t="n">
        <v>0</v>
      </c>
      <c r="F21" s="45" t="n">
        <v>0</v>
      </c>
      <c r="G21" s="45" t="n">
        <v>0</v>
      </c>
      <c r="H21" s="45" t="n">
        <v>0</v>
      </c>
      <c r="I21" s="45" t="n">
        <v>0</v>
      </c>
      <c r="J21" s="46" t="n">
        <f aca="false">SUMPRODUCT(B21:I21,$B$11:$I$11)</f>
        <v>4</v>
      </c>
      <c r="K21" s="50" t="n">
        <f aca="false">J21+J20</f>
        <v>6</v>
      </c>
      <c r="L21" s="50" t="n">
        <f aca="false">SUM(J18:J21)</f>
        <v>13</v>
      </c>
      <c r="M21" s="50" t="n">
        <f aca="false">SUM(C18:I21)</f>
        <v>13</v>
      </c>
      <c r="N21" s="48"/>
      <c r="O21" s="49"/>
      <c r="P21" s="49"/>
      <c r="Q21" s="49"/>
      <c r="R21" s="49"/>
      <c r="S21" s="49"/>
      <c r="T21" s="49"/>
      <c r="U21" s="49"/>
      <c r="V21" s="49"/>
      <c r="W21" s="49"/>
      <c r="X21" s="48"/>
      <c r="Y21" s="48"/>
      <c r="Z21" s="48"/>
    </row>
    <row r="22" customFormat="false" ht="14.25" hidden="false" customHeight="true" outlineLevel="0" collapsed="false">
      <c r="A22" s="44" t="s">
        <v>46</v>
      </c>
      <c r="B22" s="45" t="n">
        <v>0</v>
      </c>
      <c r="C22" s="45" t="n">
        <v>0</v>
      </c>
      <c r="D22" s="45" t="n">
        <v>0</v>
      </c>
      <c r="E22" s="45" t="n">
        <v>0</v>
      </c>
      <c r="F22" s="45" t="n">
        <v>0</v>
      </c>
      <c r="G22" s="45" t="n">
        <v>0</v>
      </c>
      <c r="H22" s="45" t="n">
        <v>0</v>
      </c>
      <c r="I22" s="45" t="n">
        <v>0</v>
      </c>
      <c r="J22" s="46" t="n">
        <f aca="false">SUMPRODUCT(B22:I22,$B$11:$I$11)</f>
        <v>0</v>
      </c>
      <c r="K22" s="47"/>
      <c r="L22" s="47"/>
      <c r="M22" s="47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 customFormat="false" ht="14.25" hidden="false" customHeight="true" outlineLevel="0" collapsed="false">
      <c r="A23" s="44" t="s">
        <v>47</v>
      </c>
      <c r="B23" s="45" t="n">
        <v>0</v>
      </c>
      <c r="C23" s="45" t="n">
        <v>0</v>
      </c>
      <c r="D23" s="45" t="n">
        <v>2</v>
      </c>
      <c r="E23" s="45" t="n">
        <v>0</v>
      </c>
      <c r="F23" s="45" t="n">
        <v>0</v>
      </c>
      <c r="G23" s="45" t="n">
        <v>0</v>
      </c>
      <c r="H23" s="45" t="n">
        <v>0</v>
      </c>
      <c r="I23" s="45" t="n">
        <v>0</v>
      </c>
      <c r="J23" s="46" t="n">
        <f aca="false">SUMPRODUCT(B23:I23,$B$11:$I$11)</f>
        <v>2</v>
      </c>
      <c r="K23" s="50" t="n">
        <f aca="false">J23+J22</f>
        <v>2</v>
      </c>
      <c r="L23" s="51"/>
      <c r="M23" s="51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 customFormat="false" ht="14.25" hidden="false" customHeight="true" outlineLevel="0" collapsed="false">
      <c r="A24" s="44" t="s">
        <v>48</v>
      </c>
      <c r="B24" s="45" t="n">
        <v>0</v>
      </c>
      <c r="C24" s="45" t="n">
        <v>0</v>
      </c>
      <c r="D24" s="45" t="n">
        <v>2</v>
      </c>
      <c r="E24" s="45" t="n">
        <v>0</v>
      </c>
      <c r="F24" s="45" t="n">
        <v>0</v>
      </c>
      <c r="G24" s="45" t="n">
        <v>0</v>
      </c>
      <c r="H24" s="45" t="n">
        <v>0</v>
      </c>
      <c r="I24" s="45" t="n">
        <v>0</v>
      </c>
      <c r="J24" s="46" t="n">
        <f aca="false">SUMPRODUCT(B24:I24,$B$11:$I$11)</f>
        <v>2</v>
      </c>
      <c r="K24" s="47"/>
      <c r="L24" s="50"/>
      <c r="M24" s="50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 customFormat="false" ht="14.25" hidden="false" customHeight="true" outlineLevel="0" collapsed="false">
      <c r="A25" s="44" t="s">
        <v>49</v>
      </c>
      <c r="B25" s="45" t="n">
        <v>0</v>
      </c>
      <c r="C25" s="45" t="n">
        <v>0</v>
      </c>
      <c r="D25" s="45" t="n">
        <v>0</v>
      </c>
      <c r="E25" s="45" t="n">
        <v>0</v>
      </c>
      <c r="F25" s="45" t="n">
        <v>0</v>
      </c>
      <c r="G25" s="45" t="n">
        <v>0</v>
      </c>
      <c r="H25" s="45" t="n">
        <v>0</v>
      </c>
      <c r="I25" s="45" t="n">
        <v>0</v>
      </c>
      <c r="J25" s="46" t="n">
        <f aca="false">SUMPRODUCT(B25:I25,$B$11:$I$11)</f>
        <v>0</v>
      </c>
      <c r="K25" s="50" t="n">
        <f aca="false">J25+J24</f>
        <v>2</v>
      </c>
      <c r="L25" s="50" t="n">
        <f aca="false">SUM(J22:J25)</f>
        <v>4</v>
      </c>
      <c r="M25" s="50" t="n">
        <f aca="false">SUM(C22:I25)</f>
        <v>4</v>
      </c>
      <c r="N25" s="48"/>
      <c r="O25" s="49"/>
      <c r="P25" s="49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 customFormat="false" ht="14.25" hidden="false" customHeight="true" outlineLevel="0" collapsed="false">
      <c r="A26" s="44" t="s">
        <v>50</v>
      </c>
      <c r="B26" s="45" t="n">
        <v>0</v>
      </c>
      <c r="C26" s="45" t="n">
        <v>0</v>
      </c>
      <c r="D26" s="45" t="n">
        <v>3</v>
      </c>
      <c r="E26" s="45" t="n">
        <v>0</v>
      </c>
      <c r="F26" s="45" t="n">
        <v>0</v>
      </c>
      <c r="G26" s="45" t="n">
        <v>0</v>
      </c>
      <c r="H26" s="45" t="n">
        <v>0</v>
      </c>
      <c r="I26" s="45" t="n">
        <v>0</v>
      </c>
      <c r="J26" s="46" t="n">
        <f aca="false">SUMPRODUCT(B26:I26,$B$11:$I$11)</f>
        <v>3</v>
      </c>
      <c r="K26" s="47"/>
      <c r="L26" s="47"/>
      <c r="M26" s="47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 customFormat="false" ht="14.25" hidden="false" customHeight="true" outlineLevel="0" collapsed="false">
      <c r="A27" s="44" t="s">
        <v>51</v>
      </c>
      <c r="B27" s="45" t="n">
        <v>0</v>
      </c>
      <c r="C27" s="45" t="n">
        <v>0</v>
      </c>
      <c r="D27" s="45" t="n">
        <v>1</v>
      </c>
      <c r="E27" s="45" t="n">
        <v>0</v>
      </c>
      <c r="F27" s="45" t="n">
        <v>0</v>
      </c>
      <c r="G27" s="45" t="n">
        <v>1</v>
      </c>
      <c r="H27" s="45" t="n">
        <v>0</v>
      </c>
      <c r="I27" s="45" t="n">
        <v>0</v>
      </c>
      <c r="J27" s="46" t="n">
        <f aca="false">SUMPRODUCT(B27:I27,$B$11:$I$11)</f>
        <v>2.5</v>
      </c>
      <c r="K27" s="50" t="n">
        <f aca="false">J27+J26</f>
        <v>5.5</v>
      </c>
      <c r="L27" s="51"/>
      <c r="M27" s="51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 customFormat="false" ht="14.25" hidden="false" customHeight="true" outlineLevel="0" collapsed="false">
      <c r="A28" s="44" t="s">
        <v>52</v>
      </c>
      <c r="B28" s="45" t="n">
        <v>0</v>
      </c>
      <c r="C28" s="45" t="n">
        <v>0</v>
      </c>
      <c r="D28" s="45" t="n">
        <v>0</v>
      </c>
      <c r="E28" s="45" t="n">
        <v>0</v>
      </c>
      <c r="F28" s="45" t="n">
        <v>0</v>
      </c>
      <c r="G28" s="45" t="n">
        <v>0</v>
      </c>
      <c r="H28" s="45" t="n">
        <v>0</v>
      </c>
      <c r="I28" s="45" t="n">
        <v>0</v>
      </c>
      <c r="J28" s="46" t="n">
        <f aca="false">SUMPRODUCT(B28:I28,$B$11:$I$11)</f>
        <v>0</v>
      </c>
      <c r="K28" s="47"/>
      <c r="L28" s="50"/>
      <c r="M28" s="50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 customFormat="false" ht="14.25" hidden="false" customHeight="true" outlineLevel="0" collapsed="false">
      <c r="A29" s="44" t="s">
        <v>53</v>
      </c>
      <c r="B29" s="45" t="n">
        <v>0</v>
      </c>
      <c r="C29" s="45" t="n">
        <v>0</v>
      </c>
      <c r="D29" s="45" t="n">
        <v>0</v>
      </c>
      <c r="E29" s="45" t="n">
        <v>0</v>
      </c>
      <c r="F29" s="45" t="n">
        <v>0</v>
      </c>
      <c r="G29" s="45" t="n">
        <v>0</v>
      </c>
      <c r="H29" s="45" t="n">
        <v>0</v>
      </c>
      <c r="I29" s="45" t="n">
        <v>0</v>
      </c>
      <c r="J29" s="46" t="n">
        <f aca="false">SUMPRODUCT(B29:I29,$B$11:$I$11)</f>
        <v>0</v>
      </c>
      <c r="K29" s="50" t="n">
        <f aca="false">J29+J28</f>
        <v>0</v>
      </c>
      <c r="L29" s="50" t="n">
        <f aca="false">SUM(J26:J29)</f>
        <v>5.5</v>
      </c>
      <c r="M29" s="50" t="n">
        <f aca="false">SUM(C26:I29)</f>
        <v>5</v>
      </c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 customFormat="false" ht="14.25" hidden="false" customHeight="true" outlineLevel="0" collapsed="false">
      <c r="A30" s="44" t="s">
        <v>54</v>
      </c>
      <c r="B30" s="45" t="n">
        <v>0</v>
      </c>
      <c r="C30" s="45" t="n">
        <v>0</v>
      </c>
      <c r="D30" s="45" t="n">
        <v>2</v>
      </c>
      <c r="E30" s="45" t="n">
        <v>0</v>
      </c>
      <c r="F30" s="45" t="n">
        <v>0</v>
      </c>
      <c r="G30" s="45" t="n">
        <v>0</v>
      </c>
      <c r="H30" s="45" t="n">
        <v>0</v>
      </c>
      <c r="I30" s="45" t="n">
        <v>0</v>
      </c>
      <c r="J30" s="46" t="n">
        <f aca="false">SUMPRODUCT(B30:I30,$B$11:$I$11)</f>
        <v>2</v>
      </c>
      <c r="K30" s="47"/>
      <c r="L30" s="47"/>
      <c r="M30" s="47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 customFormat="false" ht="14.25" hidden="false" customHeight="true" outlineLevel="0" collapsed="false">
      <c r="A31" s="44" t="s">
        <v>55</v>
      </c>
      <c r="B31" s="45" t="n">
        <v>0</v>
      </c>
      <c r="C31" s="45" t="n">
        <v>0</v>
      </c>
      <c r="D31" s="45" t="n">
        <v>0</v>
      </c>
      <c r="E31" s="45" t="n">
        <v>0</v>
      </c>
      <c r="F31" s="45" t="n">
        <v>0</v>
      </c>
      <c r="G31" s="45" t="n">
        <v>0</v>
      </c>
      <c r="H31" s="45" t="n">
        <v>0</v>
      </c>
      <c r="I31" s="45" t="n">
        <v>0</v>
      </c>
      <c r="J31" s="46" t="n">
        <f aca="false">SUMPRODUCT(B31:I31,$B$11:$I$11)</f>
        <v>0</v>
      </c>
      <c r="K31" s="50" t="n">
        <f aca="false">J31+J30</f>
        <v>2</v>
      </c>
      <c r="L31" s="51"/>
      <c r="M31" s="51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 customFormat="false" ht="14.25" hidden="false" customHeight="true" outlineLevel="0" collapsed="false">
      <c r="A32" s="44" t="s">
        <v>56</v>
      </c>
      <c r="B32" s="45" t="n">
        <v>0</v>
      </c>
      <c r="C32" s="45" t="n">
        <v>0</v>
      </c>
      <c r="D32" s="45" t="n">
        <v>0</v>
      </c>
      <c r="E32" s="45" t="n">
        <v>0</v>
      </c>
      <c r="F32" s="45" t="n">
        <v>0</v>
      </c>
      <c r="G32" s="45" t="n">
        <v>0</v>
      </c>
      <c r="H32" s="45" t="n">
        <v>0</v>
      </c>
      <c r="I32" s="45" t="n">
        <v>0</v>
      </c>
      <c r="J32" s="46" t="n">
        <f aca="false">SUMPRODUCT(B32:I32,$B$11:$I$11)</f>
        <v>0</v>
      </c>
      <c r="K32" s="47"/>
      <c r="L32" s="50"/>
      <c r="M32" s="50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 customFormat="false" ht="14.25" hidden="false" customHeight="true" outlineLevel="0" collapsed="false">
      <c r="A33" s="44" t="s">
        <v>57</v>
      </c>
      <c r="B33" s="45" t="n">
        <v>0</v>
      </c>
      <c r="C33" s="45" t="n">
        <v>0</v>
      </c>
      <c r="D33" s="45" t="n">
        <v>0</v>
      </c>
      <c r="E33" s="45" t="n">
        <v>0</v>
      </c>
      <c r="F33" s="45" t="n">
        <v>0</v>
      </c>
      <c r="G33" s="45" t="n">
        <v>0</v>
      </c>
      <c r="H33" s="45" t="n">
        <v>0</v>
      </c>
      <c r="I33" s="45" t="n">
        <v>0</v>
      </c>
      <c r="J33" s="46" t="n">
        <f aca="false">SUMPRODUCT(B33:I33,$B$11:$I$11)</f>
        <v>0</v>
      </c>
      <c r="K33" s="50" t="n">
        <f aca="false">J33+J32</f>
        <v>0</v>
      </c>
      <c r="L33" s="50" t="n">
        <f aca="false">SUM(J30:J33)</f>
        <v>2</v>
      </c>
      <c r="M33" s="50" t="n">
        <f aca="false">SUM(C30:I33)</f>
        <v>2</v>
      </c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 customFormat="false" ht="14.25" hidden="false" customHeight="true" outlineLevel="0" collapsed="false">
      <c r="A34" s="44" t="s">
        <v>58</v>
      </c>
      <c r="B34" s="45" t="n">
        <v>0</v>
      </c>
      <c r="C34" s="45" t="n">
        <v>0</v>
      </c>
      <c r="D34" s="45" t="n">
        <v>2</v>
      </c>
      <c r="E34" s="45" t="n">
        <v>0</v>
      </c>
      <c r="F34" s="45" t="n">
        <v>0</v>
      </c>
      <c r="G34" s="45" t="n">
        <v>0</v>
      </c>
      <c r="H34" s="45" t="n">
        <v>0</v>
      </c>
      <c r="I34" s="45" t="n">
        <v>0</v>
      </c>
      <c r="J34" s="46" t="n">
        <f aca="false">SUMPRODUCT(B34:I34,$B$11:$I$11)</f>
        <v>2</v>
      </c>
      <c r="K34" s="47"/>
      <c r="L34" s="47"/>
      <c r="M34" s="47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 customFormat="false" ht="14.25" hidden="false" customHeight="true" outlineLevel="0" collapsed="false">
      <c r="A35" s="44" t="s">
        <v>59</v>
      </c>
      <c r="B35" s="45" t="n">
        <v>0</v>
      </c>
      <c r="C35" s="45" t="n">
        <v>0</v>
      </c>
      <c r="D35" s="45" t="n">
        <v>2</v>
      </c>
      <c r="E35" s="45" t="n">
        <v>0</v>
      </c>
      <c r="F35" s="45" t="n">
        <v>0</v>
      </c>
      <c r="G35" s="45" t="n">
        <v>0</v>
      </c>
      <c r="H35" s="45" t="n">
        <v>0</v>
      </c>
      <c r="I35" s="45" t="n">
        <v>0</v>
      </c>
      <c r="J35" s="46" t="n">
        <f aca="false">SUMPRODUCT(B35:I35,$B$11:$I$11)</f>
        <v>2</v>
      </c>
      <c r="K35" s="50" t="n">
        <f aca="false">J35+J34</f>
        <v>4</v>
      </c>
      <c r="L35" s="51"/>
      <c r="M35" s="51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 customFormat="false" ht="14.25" hidden="false" customHeight="true" outlineLevel="0" collapsed="false">
      <c r="A36" s="44" t="s">
        <v>60</v>
      </c>
      <c r="B36" s="45" t="n">
        <v>0</v>
      </c>
      <c r="C36" s="45" t="n">
        <v>1</v>
      </c>
      <c r="D36" s="45" t="n">
        <v>3</v>
      </c>
      <c r="E36" s="45" t="n">
        <v>0</v>
      </c>
      <c r="F36" s="45" t="n">
        <v>0</v>
      </c>
      <c r="G36" s="45" t="n">
        <v>0</v>
      </c>
      <c r="H36" s="45" t="n">
        <v>0</v>
      </c>
      <c r="I36" s="45" t="n">
        <v>0</v>
      </c>
      <c r="J36" s="46" t="n">
        <f aca="false">SUMPRODUCT(B36:I36,$B$11:$I$11)</f>
        <v>4</v>
      </c>
      <c r="K36" s="47"/>
      <c r="L36" s="50"/>
      <c r="M36" s="50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 customFormat="false" ht="14.25" hidden="false" customHeight="true" outlineLevel="0" collapsed="false">
      <c r="A37" s="44" t="s">
        <v>61</v>
      </c>
      <c r="B37" s="45" t="n">
        <v>0</v>
      </c>
      <c r="C37" s="45" t="n">
        <v>0</v>
      </c>
      <c r="D37" s="45" t="n">
        <v>2</v>
      </c>
      <c r="E37" s="45" t="n">
        <v>0</v>
      </c>
      <c r="F37" s="45" t="n">
        <v>0</v>
      </c>
      <c r="G37" s="45" t="n">
        <v>0</v>
      </c>
      <c r="H37" s="45" t="n">
        <v>0</v>
      </c>
      <c r="I37" s="45" t="n">
        <v>0</v>
      </c>
      <c r="J37" s="46" t="n">
        <f aca="false">SUMPRODUCT(B37:I37,$B$11:$I$11)</f>
        <v>2</v>
      </c>
      <c r="K37" s="50" t="n">
        <f aca="false">J37+J36</f>
        <v>6</v>
      </c>
      <c r="L37" s="50" t="n">
        <f aca="false">SUM(J34:J37)</f>
        <v>10</v>
      </c>
      <c r="M37" s="50" t="n">
        <f aca="false">SUM(C34:I37)</f>
        <v>10</v>
      </c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 customFormat="false" ht="14.25" hidden="false" customHeight="true" outlineLevel="0" collapsed="false">
      <c r="A38" s="44" t="s">
        <v>62</v>
      </c>
      <c r="B38" s="45" t="n">
        <v>0</v>
      </c>
      <c r="C38" s="45" t="n">
        <v>0</v>
      </c>
      <c r="D38" s="45" t="n">
        <v>3</v>
      </c>
      <c r="E38" s="45" t="n">
        <v>0</v>
      </c>
      <c r="F38" s="45" t="n">
        <v>0</v>
      </c>
      <c r="G38" s="45" t="n">
        <v>1</v>
      </c>
      <c r="H38" s="45" t="n">
        <v>0</v>
      </c>
      <c r="I38" s="45" t="n">
        <v>0</v>
      </c>
      <c r="J38" s="46" t="n">
        <f aca="false">SUMPRODUCT(B38:I38,$B$11:$I$11)</f>
        <v>4.5</v>
      </c>
      <c r="K38" s="47"/>
      <c r="L38" s="47"/>
      <c r="M38" s="47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 customFormat="false" ht="14.25" hidden="false" customHeight="true" outlineLevel="0" collapsed="false">
      <c r="A39" s="44" t="s">
        <v>63</v>
      </c>
      <c r="B39" s="45" t="n">
        <v>0</v>
      </c>
      <c r="C39" s="45" t="n">
        <v>0</v>
      </c>
      <c r="D39" s="45" t="n">
        <v>6</v>
      </c>
      <c r="E39" s="45" t="n">
        <v>0</v>
      </c>
      <c r="F39" s="45" t="n">
        <v>0</v>
      </c>
      <c r="G39" s="45" t="n">
        <v>0</v>
      </c>
      <c r="H39" s="45" t="n">
        <v>0</v>
      </c>
      <c r="I39" s="45" t="n">
        <v>0</v>
      </c>
      <c r="J39" s="46" t="n">
        <f aca="false">SUMPRODUCT(B39:I39,$B$11:$I$11)</f>
        <v>6</v>
      </c>
      <c r="K39" s="50" t="n">
        <f aca="false">J39+J38</f>
        <v>10.5</v>
      </c>
      <c r="L39" s="51"/>
      <c r="M39" s="51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 customFormat="false" ht="14.25" hidden="false" customHeight="true" outlineLevel="0" collapsed="false">
      <c r="A40" s="44" t="s">
        <v>64</v>
      </c>
      <c r="B40" s="45" t="n">
        <v>0</v>
      </c>
      <c r="C40" s="45" t="n">
        <v>0</v>
      </c>
      <c r="D40" s="45" t="n">
        <v>2</v>
      </c>
      <c r="E40" s="45" t="n">
        <v>0</v>
      </c>
      <c r="F40" s="45" t="n">
        <v>0</v>
      </c>
      <c r="G40" s="45" t="n">
        <v>0</v>
      </c>
      <c r="H40" s="45" t="n">
        <v>0</v>
      </c>
      <c r="I40" s="45" t="n">
        <v>0</v>
      </c>
      <c r="J40" s="46" t="n">
        <f aca="false">SUMPRODUCT(B40:I40,$B$11:$I$11)</f>
        <v>2</v>
      </c>
      <c r="K40" s="47"/>
      <c r="L40" s="50"/>
      <c r="M40" s="50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 customFormat="false" ht="14.25" hidden="false" customHeight="true" outlineLevel="0" collapsed="false">
      <c r="A41" s="44" t="s">
        <v>65</v>
      </c>
      <c r="B41" s="45" t="n">
        <v>0</v>
      </c>
      <c r="C41" s="45" t="n">
        <v>0</v>
      </c>
      <c r="D41" s="45" t="n">
        <v>2</v>
      </c>
      <c r="E41" s="45" t="n">
        <v>0</v>
      </c>
      <c r="F41" s="45" t="n">
        <v>0</v>
      </c>
      <c r="G41" s="45" t="n">
        <v>0</v>
      </c>
      <c r="H41" s="45" t="n">
        <v>0</v>
      </c>
      <c r="I41" s="45" t="n">
        <v>0</v>
      </c>
      <c r="J41" s="46" t="n">
        <f aca="false">SUMPRODUCT(B41:I41,$B$11:$I$11)</f>
        <v>2</v>
      </c>
      <c r="K41" s="50" t="n">
        <f aca="false">J41+J40</f>
        <v>4</v>
      </c>
      <c r="L41" s="50" t="n">
        <f aca="false">SUM(J38:J41)</f>
        <v>14.5</v>
      </c>
      <c r="M41" s="50" t="n">
        <f aca="false">SUM(C38:I41)</f>
        <v>14</v>
      </c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 customFormat="false" ht="14.25" hidden="false" customHeight="true" outlineLevel="0" collapsed="false">
      <c r="A42" s="44" t="s">
        <v>66</v>
      </c>
      <c r="B42" s="45" t="n">
        <v>0</v>
      </c>
      <c r="C42" s="45" t="n">
        <v>0</v>
      </c>
      <c r="D42" s="45" t="n">
        <v>0</v>
      </c>
      <c r="E42" s="45" t="n">
        <v>0</v>
      </c>
      <c r="F42" s="45" t="n">
        <v>0</v>
      </c>
      <c r="G42" s="45" t="n">
        <v>0</v>
      </c>
      <c r="H42" s="45" t="n">
        <v>0</v>
      </c>
      <c r="I42" s="45" t="n">
        <v>0</v>
      </c>
      <c r="J42" s="46" t="n">
        <f aca="false">SUMPRODUCT(B42:I42,$B$11:$I$11)</f>
        <v>0</v>
      </c>
      <c r="K42" s="47"/>
      <c r="L42" s="47"/>
      <c r="M42" s="47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 customFormat="false" ht="14.25" hidden="false" customHeight="true" outlineLevel="0" collapsed="false">
      <c r="A43" s="44" t="s">
        <v>67</v>
      </c>
      <c r="B43" s="45" t="n">
        <v>0</v>
      </c>
      <c r="C43" s="45" t="n">
        <v>0</v>
      </c>
      <c r="D43" s="45" t="n">
        <v>0</v>
      </c>
      <c r="E43" s="45" t="n">
        <v>0</v>
      </c>
      <c r="F43" s="45" t="n">
        <v>0</v>
      </c>
      <c r="G43" s="45" t="n">
        <v>0</v>
      </c>
      <c r="H43" s="45" t="n">
        <v>0</v>
      </c>
      <c r="I43" s="45" t="n">
        <v>0</v>
      </c>
      <c r="J43" s="46" t="n">
        <f aca="false">SUMPRODUCT(B43:I43,$B$11:$I$11)</f>
        <v>0</v>
      </c>
      <c r="K43" s="50" t="n">
        <f aca="false">J43+J42</f>
        <v>0</v>
      </c>
      <c r="L43" s="51"/>
      <c r="M43" s="51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customFormat="false" ht="14.25" hidden="false" customHeight="true" outlineLevel="0" collapsed="false">
      <c r="A44" s="44" t="s">
        <v>68</v>
      </c>
      <c r="B44" s="45" t="n">
        <v>0</v>
      </c>
      <c r="C44" s="45" t="n">
        <v>0</v>
      </c>
      <c r="D44" s="45" t="n">
        <v>1</v>
      </c>
      <c r="E44" s="45" t="n">
        <v>0</v>
      </c>
      <c r="F44" s="45" t="n">
        <v>0</v>
      </c>
      <c r="G44" s="45" t="n">
        <v>0</v>
      </c>
      <c r="H44" s="45" t="n">
        <v>0</v>
      </c>
      <c r="I44" s="45" t="n">
        <v>0</v>
      </c>
      <c r="J44" s="46" t="n">
        <f aca="false">SUMPRODUCT(B44:I44,$B$11:$I$11)</f>
        <v>1</v>
      </c>
      <c r="K44" s="47"/>
      <c r="L44" s="50"/>
      <c r="M44" s="50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customFormat="false" ht="14.25" hidden="false" customHeight="true" outlineLevel="0" collapsed="false">
      <c r="A45" s="44" t="s">
        <v>69</v>
      </c>
      <c r="B45" s="45" t="n">
        <v>0</v>
      </c>
      <c r="C45" s="45" t="n">
        <v>0</v>
      </c>
      <c r="D45" s="45" t="n">
        <v>0</v>
      </c>
      <c r="E45" s="45" t="n">
        <v>0</v>
      </c>
      <c r="F45" s="45" t="n">
        <v>0</v>
      </c>
      <c r="G45" s="45" t="n">
        <v>0</v>
      </c>
      <c r="H45" s="45" t="n">
        <v>0</v>
      </c>
      <c r="I45" s="45" t="n">
        <v>0</v>
      </c>
      <c r="J45" s="46" t="n">
        <f aca="false">SUMPRODUCT(B45:I45,$B$11:$I$11)</f>
        <v>0</v>
      </c>
      <c r="K45" s="50" t="n">
        <f aca="false">J45+J44</f>
        <v>1</v>
      </c>
      <c r="L45" s="50" t="n">
        <f aca="false">SUM(J42:J45)</f>
        <v>1</v>
      </c>
      <c r="M45" s="50" t="n">
        <f aca="false">SUM(C42:I45)</f>
        <v>1</v>
      </c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 customFormat="false" ht="14.25" hidden="false" customHeight="true" outlineLevel="0" collapsed="false">
      <c r="A46" s="44" t="s">
        <v>70</v>
      </c>
      <c r="B46" s="45" t="n">
        <v>0</v>
      </c>
      <c r="C46" s="45" t="n">
        <v>0</v>
      </c>
      <c r="D46" s="45" t="n">
        <v>3</v>
      </c>
      <c r="E46" s="45" t="n">
        <v>0</v>
      </c>
      <c r="F46" s="45" t="n">
        <v>0</v>
      </c>
      <c r="G46" s="45" t="n">
        <v>2</v>
      </c>
      <c r="H46" s="45" t="n">
        <v>0</v>
      </c>
      <c r="I46" s="45" t="n">
        <v>2</v>
      </c>
      <c r="J46" s="46" t="n">
        <f aca="false">SUMPRODUCT(B46:I46,$B$11:$I$11)</f>
        <v>9</v>
      </c>
      <c r="K46" s="47"/>
      <c r="L46" s="47"/>
      <c r="M46" s="47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customFormat="false" ht="14.25" hidden="false" customHeight="true" outlineLevel="0" collapsed="false">
      <c r="A47" s="44" t="s">
        <v>71</v>
      </c>
      <c r="B47" s="45" t="n">
        <v>3</v>
      </c>
      <c r="C47" s="45" t="n">
        <v>0</v>
      </c>
      <c r="D47" s="45" t="n">
        <v>3</v>
      </c>
      <c r="E47" s="45" t="n">
        <v>0</v>
      </c>
      <c r="F47" s="45" t="n">
        <v>0</v>
      </c>
      <c r="G47" s="45" t="n">
        <v>0</v>
      </c>
      <c r="H47" s="45" t="n">
        <v>1</v>
      </c>
      <c r="I47" s="45" t="n">
        <v>0</v>
      </c>
      <c r="J47" s="46" t="n">
        <f aca="false">SUMPRODUCT(B47:I47,$B$11:$I$11)</f>
        <v>6.5</v>
      </c>
      <c r="K47" s="50" t="n">
        <f aca="false">J47+J46</f>
        <v>15.5</v>
      </c>
      <c r="L47" s="51"/>
      <c r="M47" s="51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 customFormat="false" ht="14.25" hidden="false" customHeight="true" outlineLevel="0" collapsed="false">
      <c r="A48" s="44" t="s">
        <v>72</v>
      </c>
      <c r="B48" s="45" t="n">
        <v>0</v>
      </c>
      <c r="C48" s="45" t="n">
        <v>0</v>
      </c>
      <c r="D48" s="45" t="n">
        <v>3</v>
      </c>
      <c r="E48" s="45" t="n">
        <v>0</v>
      </c>
      <c r="F48" s="45" t="n">
        <v>0</v>
      </c>
      <c r="G48" s="45" t="n">
        <v>0</v>
      </c>
      <c r="H48" s="45" t="n">
        <v>0</v>
      </c>
      <c r="I48" s="45" t="n">
        <v>0</v>
      </c>
      <c r="J48" s="46" t="n">
        <f aca="false">SUMPRODUCT(B48:I48,$B$11:$I$11)</f>
        <v>3</v>
      </c>
      <c r="K48" s="47"/>
      <c r="L48" s="50"/>
      <c r="M48" s="50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 customFormat="false" ht="14.25" hidden="false" customHeight="true" outlineLevel="0" collapsed="false">
      <c r="A49" s="44" t="s">
        <v>73</v>
      </c>
      <c r="B49" s="45" t="n">
        <v>0</v>
      </c>
      <c r="C49" s="45" t="n">
        <v>0</v>
      </c>
      <c r="D49" s="45" t="n">
        <v>1</v>
      </c>
      <c r="E49" s="45" t="n">
        <v>0</v>
      </c>
      <c r="F49" s="45" t="n">
        <v>0</v>
      </c>
      <c r="G49" s="45" t="n">
        <v>0</v>
      </c>
      <c r="H49" s="45" t="n">
        <v>0</v>
      </c>
      <c r="I49" s="45" t="n">
        <v>1</v>
      </c>
      <c r="J49" s="46" t="n">
        <f aca="false">SUMPRODUCT(B49:I49,$B$11:$I$11)</f>
        <v>2.5</v>
      </c>
      <c r="K49" s="50" t="n">
        <f aca="false">J49+J48</f>
        <v>5.5</v>
      </c>
      <c r="L49" s="50" t="n">
        <f aca="false">SUM(J46:J49)</f>
        <v>21</v>
      </c>
      <c r="M49" s="50" t="n">
        <f aca="false">SUM(C46:I49)</f>
        <v>16</v>
      </c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 customFormat="false" ht="14.25" hidden="false" customHeight="true" outlineLevel="0" collapsed="false">
      <c r="A50" s="44" t="s">
        <v>74</v>
      </c>
      <c r="B50" s="45" t="n">
        <v>0</v>
      </c>
      <c r="C50" s="45" t="n">
        <v>0</v>
      </c>
      <c r="D50" s="45" t="n">
        <v>0</v>
      </c>
      <c r="E50" s="45" t="n">
        <v>0</v>
      </c>
      <c r="F50" s="45" t="n">
        <v>0</v>
      </c>
      <c r="G50" s="45" t="n">
        <v>0</v>
      </c>
      <c r="H50" s="45" t="n">
        <v>0</v>
      </c>
      <c r="I50" s="45" t="n">
        <v>0</v>
      </c>
      <c r="J50" s="46" t="n">
        <f aca="false">SUMPRODUCT(B50:I50,$B$11:$I$11)</f>
        <v>0</v>
      </c>
      <c r="K50" s="47"/>
      <c r="L50" s="47"/>
      <c r="M50" s="47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 customFormat="false" ht="14.25" hidden="false" customHeight="true" outlineLevel="0" collapsed="false">
      <c r="A51" s="44" t="s">
        <v>75</v>
      </c>
      <c r="B51" s="45" t="n">
        <v>0</v>
      </c>
      <c r="C51" s="45" t="n">
        <v>0</v>
      </c>
      <c r="D51" s="45" t="n">
        <v>1</v>
      </c>
      <c r="E51" s="45" t="n">
        <v>0</v>
      </c>
      <c r="F51" s="45" t="n">
        <v>0</v>
      </c>
      <c r="G51" s="45" t="n">
        <v>0</v>
      </c>
      <c r="H51" s="45" t="n">
        <v>0</v>
      </c>
      <c r="I51" s="45" t="n">
        <v>0</v>
      </c>
      <c r="J51" s="46" t="n">
        <f aca="false">SUMPRODUCT(B51:I51,$B$11:$I$11)</f>
        <v>1</v>
      </c>
      <c r="K51" s="50" t="n">
        <f aca="false">J51+J50</f>
        <v>1</v>
      </c>
      <c r="L51" s="51"/>
      <c r="M51" s="51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 customFormat="false" ht="14.25" hidden="false" customHeight="true" outlineLevel="0" collapsed="false">
      <c r="A52" s="44" t="s">
        <v>76</v>
      </c>
      <c r="B52" s="45" t="n">
        <v>1</v>
      </c>
      <c r="C52" s="45" t="n">
        <v>0</v>
      </c>
      <c r="D52" s="45" t="n">
        <v>0</v>
      </c>
      <c r="E52" s="45" t="n">
        <v>0</v>
      </c>
      <c r="F52" s="45" t="n">
        <v>0</v>
      </c>
      <c r="G52" s="45" t="n">
        <v>0</v>
      </c>
      <c r="H52" s="45" t="n">
        <v>0</v>
      </c>
      <c r="I52" s="45" t="n">
        <v>0</v>
      </c>
      <c r="J52" s="46" t="n">
        <f aca="false">SUMPRODUCT(B52:I52,$B$11:$I$11)</f>
        <v>0.5</v>
      </c>
      <c r="K52" s="47"/>
      <c r="L52" s="50"/>
      <c r="M52" s="50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 customFormat="false" ht="14.25" hidden="false" customHeight="true" outlineLevel="0" collapsed="false">
      <c r="A53" s="44" t="s">
        <v>77</v>
      </c>
      <c r="B53" s="45" t="n">
        <v>0</v>
      </c>
      <c r="C53" s="45" t="n">
        <v>0</v>
      </c>
      <c r="D53" s="45" t="n">
        <v>0</v>
      </c>
      <c r="E53" s="45" t="n">
        <v>0</v>
      </c>
      <c r="F53" s="45" t="n">
        <v>0</v>
      </c>
      <c r="G53" s="45" t="n">
        <v>0</v>
      </c>
      <c r="H53" s="45" t="n">
        <v>0</v>
      </c>
      <c r="I53" s="45" t="n">
        <v>0</v>
      </c>
      <c r="J53" s="46" t="n">
        <f aca="false">SUMPRODUCT(B53:I53,$B$11:$I$11)</f>
        <v>0</v>
      </c>
      <c r="K53" s="52" t="n">
        <f aca="false">J53+J52</f>
        <v>0.5</v>
      </c>
      <c r="L53" s="50" t="n">
        <f aca="false">SUM(J50:J53)</f>
        <v>1.5</v>
      </c>
      <c r="M53" s="50" t="n">
        <f aca="false">SUM(C50:I53)</f>
        <v>1</v>
      </c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 customFormat="false" ht="14.25" hidden="false" customHeight="true" outlineLevel="0" collapsed="false">
      <c r="A54" s="44" t="s">
        <v>78</v>
      </c>
      <c r="B54" s="45" t="n">
        <v>0</v>
      </c>
      <c r="C54" s="45" t="n">
        <v>0</v>
      </c>
      <c r="D54" s="45" t="n">
        <v>4</v>
      </c>
      <c r="E54" s="45" t="n">
        <v>0</v>
      </c>
      <c r="F54" s="45" t="n">
        <v>0</v>
      </c>
      <c r="G54" s="45" t="n">
        <v>0</v>
      </c>
      <c r="H54" s="45" t="n">
        <v>0</v>
      </c>
      <c r="I54" s="45" t="n">
        <v>0</v>
      </c>
      <c r="J54" s="46" t="n">
        <f aca="false">SUMPRODUCT(B54:I54,$B$11:$I$11)</f>
        <v>4</v>
      </c>
      <c r="K54" s="47"/>
      <c r="L54" s="47"/>
      <c r="M54" s="47"/>
      <c r="N54" s="48"/>
      <c r="O54" s="49"/>
      <c r="P54" s="49"/>
      <c r="Q54" s="49"/>
      <c r="R54" s="49"/>
      <c r="S54" s="49"/>
      <c r="T54" s="49"/>
      <c r="U54" s="49"/>
      <c r="V54" s="49"/>
      <c r="W54" s="49"/>
      <c r="X54" s="48"/>
      <c r="Y54" s="48"/>
      <c r="Z54" s="48"/>
    </row>
    <row r="55" customFormat="false" ht="14.25" hidden="false" customHeight="true" outlineLevel="0" collapsed="false">
      <c r="A55" s="44" t="s">
        <v>79</v>
      </c>
      <c r="B55" s="45" t="n">
        <v>0</v>
      </c>
      <c r="C55" s="45" t="n">
        <v>0</v>
      </c>
      <c r="D55" s="45" t="n">
        <v>2</v>
      </c>
      <c r="E55" s="45" t="n">
        <v>0</v>
      </c>
      <c r="F55" s="45" t="n">
        <v>0</v>
      </c>
      <c r="G55" s="45" t="n">
        <v>0</v>
      </c>
      <c r="H55" s="45" t="n">
        <v>0</v>
      </c>
      <c r="I55" s="45" t="n">
        <v>0</v>
      </c>
      <c r="J55" s="46" t="n">
        <f aca="false">SUMPRODUCT(B55:I55,$B$11:$I$11)</f>
        <v>2</v>
      </c>
      <c r="K55" s="50" t="n">
        <f aca="false">J55+J54</f>
        <v>6</v>
      </c>
      <c r="L55" s="51"/>
      <c r="M55" s="51"/>
      <c r="N55" s="48"/>
      <c r="O55" s="49"/>
      <c r="P55" s="49"/>
      <c r="Q55" s="49"/>
      <c r="R55" s="49"/>
      <c r="S55" s="49"/>
      <c r="T55" s="49"/>
      <c r="U55" s="49"/>
      <c r="V55" s="49"/>
      <c r="W55" s="49"/>
      <c r="X55" s="48"/>
      <c r="Y55" s="48"/>
      <c r="Z55" s="48"/>
    </row>
    <row r="56" customFormat="false" ht="14.25" hidden="false" customHeight="true" outlineLevel="0" collapsed="false">
      <c r="A56" s="44" t="s">
        <v>80</v>
      </c>
      <c r="B56" s="45" t="n">
        <v>0</v>
      </c>
      <c r="C56" s="45" t="n">
        <v>0</v>
      </c>
      <c r="D56" s="45" t="n">
        <v>0</v>
      </c>
      <c r="E56" s="45" t="n">
        <v>0</v>
      </c>
      <c r="F56" s="45" t="n">
        <v>0</v>
      </c>
      <c r="G56" s="45" t="n">
        <v>0</v>
      </c>
      <c r="H56" s="45" t="n">
        <v>0</v>
      </c>
      <c r="I56" s="45" t="n">
        <v>0</v>
      </c>
      <c r="J56" s="46" t="n">
        <f aca="false">SUMPRODUCT(B56:I56,$B$11:$I$11)</f>
        <v>0</v>
      </c>
      <c r="K56" s="47"/>
      <c r="L56" s="50"/>
      <c r="M56" s="50"/>
      <c r="N56" s="48"/>
      <c r="O56" s="49"/>
      <c r="P56" s="49"/>
      <c r="Q56" s="49"/>
      <c r="R56" s="49"/>
      <c r="S56" s="49"/>
      <c r="T56" s="49"/>
      <c r="U56" s="49"/>
      <c r="V56" s="49"/>
      <c r="W56" s="49"/>
      <c r="X56" s="48"/>
      <c r="Y56" s="48"/>
      <c r="Z56" s="48"/>
    </row>
    <row r="57" customFormat="false" ht="14.25" hidden="false" customHeight="true" outlineLevel="0" collapsed="false">
      <c r="A57" s="44" t="s">
        <v>81</v>
      </c>
      <c r="B57" s="45" t="n">
        <v>0</v>
      </c>
      <c r="C57" s="45" t="n">
        <v>0</v>
      </c>
      <c r="D57" s="45" t="n">
        <v>2</v>
      </c>
      <c r="E57" s="45" t="n">
        <v>0</v>
      </c>
      <c r="F57" s="45" t="n">
        <v>0</v>
      </c>
      <c r="G57" s="45" t="n">
        <v>0</v>
      </c>
      <c r="H57" s="45" t="n">
        <v>0</v>
      </c>
      <c r="I57" s="45" t="n">
        <v>0</v>
      </c>
      <c r="J57" s="46" t="n">
        <f aca="false">SUMPRODUCT(B57:I57,$B$11:$I$11)</f>
        <v>2</v>
      </c>
      <c r="K57" s="50" t="n">
        <f aca="false">J57+J56</f>
        <v>2</v>
      </c>
      <c r="L57" s="50" t="n">
        <f aca="false">SUM(J54:J57)</f>
        <v>8</v>
      </c>
      <c r="M57" s="50" t="n">
        <f aca="false">SUM(C54:I57)</f>
        <v>8</v>
      </c>
      <c r="N57" s="48"/>
      <c r="O57" s="49"/>
      <c r="P57" s="49"/>
      <c r="Q57" s="49"/>
      <c r="R57" s="49"/>
      <c r="S57" s="49"/>
      <c r="T57" s="49"/>
      <c r="U57" s="49"/>
      <c r="V57" s="49"/>
      <c r="W57" s="49"/>
      <c r="X57" s="48"/>
      <c r="Y57" s="48"/>
      <c r="Z57" s="48"/>
    </row>
    <row r="58" customFormat="false" ht="14.25" hidden="false" customHeight="true" outlineLevel="0" collapsed="false">
      <c r="A58" s="44" t="s">
        <v>82</v>
      </c>
      <c r="B58" s="45" t="n">
        <v>0</v>
      </c>
      <c r="C58" s="45" t="n">
        <v>0</v>
      </c>
      <c r="D58" s="45" t="n">
        <v>0</v>
      </c>
      <c r="E58" s="45" t="n">
        <v>0</v>
      </c>
      <c r="F58" s="45" t="n">
        <v>0</v>
      </c>
      <c r="G58" s="45" t="n">
        <v>0</v>
      </c>
      <c r="H58" s="45" t="n">
        <v>0</v>
      </c>
      <c r="I58" s="45" t="n">
        <v>0</v>
      </c>
      <c r="J58" s="46" t="n">
        <f aca="false">SUMPRODUCT(B58:I58,$B$11:$I$11)</f>
        <v>0</v>
      </c>
      <c r="K58" s="47"/>
      <c r="L58" s="47"/>
      <c r="M58" s="47"/>
      <c r="N58" s="48"/>
      <c r="O58" s="49"/>
      <c r="P58" s="49"/>
      <c r="Q58" s="49"/>
      <c r="R58" s="49"/>
      <c r="S58" s="49"/>
      <c r="T58" s="49"/>
      <c r="U58" s="49"/>
      <c r="V58" s="49"/>
      <c r="W58" s="49"/>
      <c r="X58" s="48"/>
      <c r="Y58" s="48"/>
      <c r="Z58" s="48"/>
    </row>
    <row r="59" customFormat="false" ht="14.25" hidden="false" customHeight="true" outlineLevel="0" collapsed="false">
      <c r="A59" s="44" t="s">
        <v>83</v>
      </c>
      <c r="B59" s="45" t="n">
        <v>0</v>
      </c>
      <c r="C59" s="45" t="n">
        <v>0</v>
      </c>
      <c r="D59" s="45" t="n">
        <v>4</v>
      </c>
      <c r="E59" s="45" t="n">
        <v>0</v>
      </c>
      <c r="F59" s="45" t="n">
        <v>0</v>
      </c>
      <c r="G59" s="45" t="n">
        <v>0</v>
      </c>
      <c r="H59" s="45" t="n">
        <v>0</v>
      </c>
      <c r="I59" s="45" t="n">
        <v>0</v>
      </c>
      <c r="J59" s="46" t="n">
        <f aca="false">SUMPRODUCT(B59:I59,$B$11:$I$11)</f>
        <v>4</v>
      </c>
      <c r="K59" s="50" t="n">
        <f aca="false">J59+J58</f>
        <v>4</v>
      </c>
      <c r="L59" s="51"/>
      <c r="M59" s="51"/>
      <c r="N59" s="48"/>
      <c r="O59" s="49"/>
      <c r="P59" s="49"/>
      <c r="Q59" s="49"/>
      <c r="R59" s="49"/>
      <c r="S59" s="49"/>
      <c r="T59" s="49"/>
      <c r="U59" s="49"/>
      <c r="V59" s="49"/>
      <c r="W59" s="49"/>
      <c r="X59" s="48"/>
      <c r="Y59" s="48"/>
      <c r="Z59" s="48"/>
    </row>
    <row r="60" customFormat="false" ht="14.25" hidden="false" customHeight="true" outlineLevel="0" collapsed="false">
      <c r="A60" s="44" t="s">
        <v>84</v>
      </c>
      <c r="B60" s="45" t="n">
        <v>0</v>
      </c>
      <c r="C60" s="45" t="n">
        <v>0</v>
      </c>
      <c r="D60" s="45" t="n">
        <v>1</v>
      </c>
      <c r="E60" s="45" t="n">
        <v>0</v>
      </c>
      <c r="F60" s="45" t="n">
        <v>0</v>
      </c>
      <c r="G60" s="45" t="n">
        <v>0</v>
      </c>
      <c r="H60" s="45" t="n">
        <v>0</v>
      </c>
      <c r="I60" s="45" t="n">
        <v>0</v>
      </c>
      <c r="J60" s="46" t="n">
        <f aca="false">SUMPRODUCT(B60:I60,$B$11:$I$11)</f>
        <v>1</v>
      </c>
      <c r="K60" s="47"/>
      <c r="L60" s="50"/>
      <c r="M60" s="50"/>
      <c r="N60" s="48"/>
      <c r="O60" s="49"/>
      <c r="P60" s="49"/>
      <c r="Q60" s="49"/>
      <c r="R60" s="49"/>
      <c r="S60" s="49"/>
      <c r="T60" s="49"/>
      <c r="U60" s="49"/>
      <c r="V60" s="49"/>
      <c r="W60" s="49"/>
      <c r="X60" s="48"/>
      <c r="Y60" s="48"/>
      <c r="Z60" s="48"/>
    </row>
    <row r="61" customFormat="false" ht="14.25" hidden="false" customHeight="true" outlineLevel="0" collapsed="false">
      <c r="A61" s="44" t="s">
        <v>85</v>
      </c>
      <c r="B61" s="45" t="n">
        <v>0</v>
      </c>
      <c r="C61" s="45" t="n">
        <v>1</v>
      </c>
      <c r="D61" s="45" t="n">
        <v>2</v>
      </c>
      <c r="E61" s="45" t="n">
        <v>0</v>
      </c>
      <c r="F61" s="45" t="n">
        <v>0</v>
      </c>
      <c r="G61" s="45" t="n">
        <v>0</v>
      </c>
      <c r="H61" s="45" t="n">
        <v>0</v>
      </c>
      <c r="I61" s="45" t="n">
        <v>0</v>
      </c>
      <c r="J61" s="46" t="n">
        <f aca="false">SUMPRODUCT(B61:I61,$B$11:$I$11)</f>
        <v>3</v>
      </c>
      <c r="K61" s="50" t="n">
        <f aca="false">J61+J60</f>
        <v>4</v>
      </c>
      <c r="L61" s="50" t="n">
        <f aca="false">SUM(J58:J61)</f>
        <v>8</v>
      </c>
      <c r="M61" s="50" t="n">
        <f aca="false">SUM(C58:I61)</f>
        <v>8</v>
      </c>
      <c r="N61" s="48"/>
      <c r="O61" s="49"/>
      <c r="P61" s="49"/>
      <c r="Q61" s="49"/>
      <c r="R61" s="49"/>
      <c r="S61" s="49"/>
      <c r="T61" s="49"/>
      <c r="U61" s="49"/>
      <c r="V61" s="49"/>
      <c r="W61" s="49"/>
      <c r="X61" s="48"/>
      <c r="Y61" s="48"/>
      <c r="Z61" s="48"/>
    </row>
    <row r="62" customFormat="false" ht="14.25" hidden="false" customHeight="true" outlineLevel="0" collapsed="false">
      <c r="A62" s="44" t="s">
        <v>86</v>
      </c>
      <c r="B62" s="45" t="n">
        <v>0</v>
      </c>
      <c r="C62" s="45" t="n">
        <v>0</v>
      </c>
      <c r="D62" s="45" t="n">
        <v>2</v>
      </c>
      <c r="E62" s="45" t="n">
        <v>0</v>
      </c>
      <c r="F62" s="45" t="n">
        <v>0</v>
      </c>
      <c r="G62" s="45" t="n">
        <v>0</v>
      </c>
      <c r="H62" s="45" t="n">
        <v>0</v>
      </c>
      <c r="I62" s="45" t="n">
        <v>0</v>
      </c>
      <c r="J62" s="46" t="n">
        <f aca="false">SUMPRODUCT(B62:I62,$B$11:$I$11)</f>
        <v>2</v>
      </c>
      <c r="K62" s="47"/>
      <c r="L62" s="47"/>
      <c r="M62" s="47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 customFormat="false" ht="14.25" hidden="false" customHeight="true" outlineLevel="0" collapsed="false">
      <c r="A63" s="44" t="s">
        <v>87</v>
      </c>
      <c r="B63" s="45" t="n">
        <v>0</v>
      </c>
      <c r="C63" s="45" t="n">
        <v>0</v>
      </c>
      <c r="D63" s="45" t="n">
        <v>1</v>
      </c>
      <c r="E63" s="45" t="n">
        <v>0</v>
      </c>
      <c r="F63" s="45" t="n">
        <v>0</v>
      </c>
      <c r="G63" s="45" t="n">
        <v>0</v>
      </c>
      <c r="H63" s="45" t="n">
        <v>0</v>
      </c>
      <c r="I63" s="45" t="n">
        <v>0</v>
      </c>
      <c r="J63" s="46" t="n">
        <f aca="false">SUMPRODUCT(B63:I63,$B$11:$I$11)</f>
        <v>1</v>
      </c>
      <c r="K63" s="50" t="n">
        <f aca="false">J63+J62</f>
        <v>3</v>
      </c>
      <c r="L63" s="51"/>
      <c r="M63" s="51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 customFormat="false" ht="14.25" hidden="false" customHeight="true" outlineLevel="0" collapsed="false">
      <c r="A64" s="44" t="s">
        <v>88</v>
      </c>
      <c r="B64" s="45" t="n">
        <v>1</v>
      </c>
      <c r="C64" s="45" t="n">
        <v>0</v>
      </c>
      <c r="D64" s="45" t="n">
        <v>3</v>
      </c>
      <c r="E64" s="45" t="n">
        <v>0</v>
      </c>
      <c r="F64" s="45" t="n">
        <v>0</v>
      </c>
      <c r="G64" s="45" t="n">
        <v>0</v>
      </c>
      <c r="H64" s="45" t="n">
        <v>0</v>
      </c>
      <c r="I64" s="45" t="n">
        <v>0</v>
      </c>
      <c r="J64" s="46" t="n">
        <f aca="false">SUMPRODUCT(B64:I64,$B$11:$I$11)</f>
        <v>3.5</v>
      </c>
      <c r="K64" s="47"/>
      <c r="L64" s="50"/>
      <c r="M64" s="50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 customFormat="false" ht="14.25" hidden="false" customHeight="true" outlineLevel="0" collapsed="false">
      <c r="A65" s="44" t="s">
        <v>89</v>
      </c>
      <c r="B65" s="45" t="n">
        <v>0</v>
      </c>
      <c r="C65" s="45" t="n">
        <v>1</v>
      </c>
      <c r="D65" s="45" t="n">
        <v>1</v>
      </c>
      <c r="E65" s="45" t="n">
        <v>0</v>
      </c>
      <c r="F65" s="45" t="n">
        <v>0</v>
      </c>
      <c r="G65" s="45" t="n">
        <v>0</v>
      </c>
      <c r="H65" s="45" t="n">
        <v>0</v>
      </c>
      <c r="I65" s="45" t="n">
        <v>0</v>
      </c>
      <c r="J65" s="46" t="n">
        <f aca="false">SUMPRODUCT(B65:I65,$B$11:$I$11)</f>
        <v>2</v>
      </c>
      <c r="K65" s="50" t="n">
        <f aca="false">J65+J64</f>
        <v>5.5</v>
      </c>
      <c r="L65" s="50" t="n">
        <f aca="false">SUM(J62:J65)</f>
        <v>8.5</v>
      </c>
      <c r="M65" s="50" t="n">
        <f aca="false">SUM(C62:I65)</f>
        <v>8</v>
      </c>
      <c r="N65" s="48"/>
      <c r="O65" s="49"/>
      <c r="P65" s="49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 customFormat="false" ht="14.25" hidden="false" customHeight="true" outlineLevel="0" collapsed="false">
      <c r="A66" s="44" t="s">
        <v>90</v>
      </c>
      <c r="B66" s="45" t="n">
        <v>0</v>
      </c>
      <c r="C66" s="45" t="n">
        <v>0</v>
      </c>
      <c r="D66" s="45" t="n">
        <v>4</v>
      </c>
      <c r="E66" s="45" t="n">
        <v>0</v>
      </c>
      <c r="F66" s="45" t="n">
        <v>0</v>
      </c>
      <c r="G66" s="45" t="n">
        <v>0</v>
      </c>
      <c r="H66" s="45" t="n">
        <v>0</v>
      </c>
      <c r="I66" s="45" t="n">
        <v>0</v>
      </c>
      <c r="J66" s="46" t="n">
        <f aca="false">SUMPRODUCT(B66:I66,$B$11:$I$11)</f>
        <v>4</v>
      </c>
      <c r="K66" s="47"/>
      <c r="L66" s="47"/>
      <c r="M66" s="47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 customFormat="false" ht="14.25" hidden="false" customHeight="true" outlineLevel="0" collapsed="false">
      <c r="A67" s="44" t="s">
        <v>91</v>
      </c>
      <c r="B67" s="45" t="n">
        <v>0</v>
      </c>
      <c r="C67" s="45" t="n">
        <v>0</v>
      </c>
      <c r="D67" s="45" t="n">
        <v>0</v>
      </c>
      <c r="E67" s="45" t="n">
        <v>0</v>
      </c>
      <c r="F67" s="45" t="n">
        <v>0</v>
      </c>
      <c r="G67" s="45" t="n">
        <v>0</v>
      </c>
      <c r="H67" s="45" t="n">
        <v>0</v>
      </c>
      <c r="I67" s="45" t="n">
        <v>0</v>
      </c>
      <c r="J67" s="46" t="n">
        <f aca="false">SUMPRODUCT(B67:I67,$B$11:$I$11)</f>
        <v>0</v>
      </c>
      <c r="K67" s="50" t="n">
        <f aca="false">J67+J66</f>
        <v>4</v>
      </c>
      <c r="L67" s="51"/>
      <c r="M67" s="53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 customFormat="false" ht="14.25" hidden="false" customHeight="true" outlineLevel="0" collapsed="false">
      <c r="A68" s="44" t="s">
        <v>92</v>
      </c>
      <c r="B68" s="45" t="n">
        <v>0</v>
      </c>
      <c r="C68" s="45" t="n">
        <v>0</v>
      </c>
      <c r="D68" s="45" t="n">
        <v>2</v>
      </c>
      <c r="E68" s="45" t="n">
        <v>0</v>
      </c>
      <c r="F68" s="45" t="n">
        <v>0</v>
      </c>
      <c r="G68" s="45" t="n">
        <v>0</v>
      </c>
      <c r="H68" s="45" t="n">
        <v>0</v>
      </c>
      <c r="I68" s="45" t="n">
        <v>0</v>
      </c>
      <c r="J68" s="46" t="n">
        <f aca="false">SUMPRODUCT(B68:I68,$B$11:$I$11)</f>
        <v>2</v>
      </c>
      <c r="K68" s="47"/>
      <c r="L68" s="50"/>
      <c r="M68" s="50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 customFormat="false" ht="14.25" hidden="false" customHeight="true" outlineLevel="0" collapsed="false">
      <c r="A69" s="44" t="s">
        <v>93</v>
      </c>
      <c r="B69" s="45" t="n">
        <v>0</v>
      </c>
      <c r="C69" s="45" t="n">
        <v>0</v>
      </c>
      <c r="D69" s="45" t="n">
        <v>0</v>
      </c>
      <c r="E69" s="45" t="n">
        <v>0</v>
      </c>
      <c r="F69" s="45" t="n">
        <v>0</v>
      </c>
      <c r="G69" s="45" t="n">
        <v>0</v>
      </c>
      <c r="H69" s="45" t="n">
        <v>0</v>
      </c>
      <c r="I69" s="45" t="n">
        <v>0</v>
      </c>
      <c r="J69" s="46" t="n">
        <f aca="false">SUMPRODUCT(B69:I69,$B$11:$I$11)</f>
        <v>0</v>
      </c>
      <c r="K69" s="52" t="n">
        <f aca="false">J69+J68</f>
        <v>2</v>
      </c>
      <c r="L69" s="52" t="n">
        <f aca="false">SUM(J66:J69)</f>
        <v>6</v>
      </c>
      <c r="M69" s="52" t="n">
        <f aca="false">SUM(C66:I69)</f>
        <v>6</v>
      </c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 customFormat="false" ht="14.25" hidden="false" customHeight="true" outlineLevel="0" collapsed="false">
      <c r="A70" s="54" t="s">
        <v>94</v>
      </c>
      <c r="B70" s="3" t="n">
        <f aca="false">SUM(B14:B69)</f>
        <v>6</v>
      </c>
      <c r="C70" s="3" t="n">
        <f aca="false">SUM(C14:C69)</f>
        <v>3</v>
      </c>
      <c r="D70" s="3" t="n">
        <f aca="false">SUM(D14:D69)</f>
        <v>93</v>
      </c>
      <c r="E70" s="3" t="n">
        <f aca="false">SUM(E14:E69)</f>
        <v>0</v>
      </c>
      <c r="F70" s="3" t="n">
        <f aca="false">SUM(F14:F69)</f>
        <v>0</v>
      </c>
      <c r="G70" s="3" t="n">
        <f aca="false">SUM(G14:G69)</f>
        <v>4</v>
      </c>
      <c r="H70" s="3" t="n">
        <f aca="false">SUM(H14:H69)</f>
        <v>1</v>
      </c>
      <c r="I70" s="3" t="n">
        <f aca="false">SUM(I14:I69)</f>
        <v>3</v>
      </c>
      <c r="J70" s="3" t="n">
        <f aca="false">SUM(J14:J69)</f>
        <v>111.5</v>
      </c>
      <c r="K70" s="3"/>
      <c r="L70" s="3"/>
      <c r="M70" s="3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3">
    <mergeCell ref="A3:M3"/>
    <mergeCell ref="A4:M4"/>
    <mergeCell ref="K6:M6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14.48"/>
    <col collapsed="false" customWidth="true" hidden="false" outlineLevel="0" max="9" min="2" style="1" width="6.94"/>
    <col collapsed="false" customWidth="true" hidden="false" outlineLevel="0" max="13" min="10" style="1" width="7.5"/>
    <col collapsed="false" customWidth="true" hidden="false" outlineLevel="0" max="31" min="14" style="1" width="13.28"/>
    <col collapsed="false" customWidth="true" hidden="false" outlineLevel="0" max="257" min="32" style="1" width="15.97"/>
  </cols>
  <sheetData>
    <row r="1" customFormat="false" ht="14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2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9.35" hidden="false" customHeight="true" outlineLevel="0" collapsed="false">
      <c r="A3" s="17" t="s">
        <v>0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7" hidden="false" customHeight="true" outlineLevel="0" collapsed="false">
      <c r="A4" s="18" t="s">
        <v>12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4.25" hidden="false" customHeight="true" outlineLevel="0" collapsed="false">
      <c r="A5" s="19" t="s">
        <v>6</v>
      </c>
      <c r="B5" s="20"/>
      <c r="C5" s="21"/>
      <c r="D5" s="22"/>
      <c r="E5" s="22"/>
      <c r="F5" s="20"/>
      <c r="G5" s="23"/>
      <c r="H5" s="23"/>
      <c r="I5" s="21"/>
      <c r="J5" s="22" t="s">
        <v>3</v>
      </c>
      <c r="K5" s="20" t="n">
        <v>0</v>
      </c>
      <c r="L5" s="24"/>
      <c r="M5" s="25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20" hidden="false" customHeight="false" outlineLevel="0" collapsed="false">
      <c r="A6" s="26" t="n">
        <f aca="false">'Deckbl.'!I11</f>
        <v>45036</v>
      </c>
      <c r="B6" s="3"/>
      <c r="C6" s="2"/>
      <c r="D6" s="2"/>
      <c r="E6" s="3"/>
      <c r="F6" s="3"/>
      <c r="G6" s="3"/>
      <c r="H6" s="3"/>
      <c r="I6" s="2"/>
      <c r="J6" s="7" t="s">
        <v>9</v>
      </c>
      <c r="K6" s="27" t="str">
        <f aca="false">'Deckbl.'!I12</f>
        <v>morgens leichter Regen, dann Sonne, 5-17°</v>
      </c>
      <c r="L6" s="27"/>
      <c r="M6" s="2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4.25" hidden="false" customHeight="true" outlineLevel="0" collapsed="false">
      <c r="A7" s="28"/>
      <c r="B7" s="7" t="s">
        <v>13</v>
      </c>
      <c r="C7" s="29" t="str">
        <f aca="false">'Deckbl.'!C8</f>
        <v>Sandleiten / Schulstraße / Parkstraße (Pregarten)</v>
      </c>
      <c r="D7" s="30"/>
      <c r="E7" s="31"/>
      <c r="F7" s="31"/>
      <c r="G7" s="31"/>
      <c r="H7" s="31"/>
      <c r="I7" s="32"/>
      <c r="J7" s="29"/>
      <c r="K7" s="31"/>
      <c r="L7" s="31"/>
      <c r="M7" s="33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4.25" hidden="false" customHeight="true" outlineLevel="0" collapsed="false">
      <c r="A8" s="28"/>
      <c r="B8" s="7" t="s">
        <v>14</v>
      </c>
      <c r="C8" s="30"/>
      <c r="D8" s="30"/>
      <c r="E8" s="31"/>
      <c r="F8" s="31"/>
      <c r="G8" s="31"/>
      <c r="H8" s="31"/>
      <c r="I8" s="32" t="s">
        <v>7</v>
      </c>
      <c r="J8" s="29" t="s">
        <v>8</v>
      </c>
      <c r="K8" s="34"/>
      <c r="L8" s="31"/>
      <c r="M8" s="33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4.25" hidden="false" customHeight="true" outlineLevel="0" collapsed="false">
      <c r="A9" s="28"/>
      <c r="B9" s="7" t="s">
        <v>15</v>
      </c>
      <c r="C9" s="35" t="s">
        <v>95</v>
      </c>
      <c r="D9" s="4"/>
      <c r="E9" s="3"/>
      <c r="F9" s="3"/>
      <c r="G9" s="3"/>
      <c r="H9" s="3"/>
      <c r="I9" s="7" t="s">
        <v>17</v>
      </c>
      <c r="J9" s="29" t="str">
        <f aca="false">'Deckbl.'!C11</f>
        <v>6-20</v>
      </c>
      <c r="K9" s="31"/>
      <c r="L9" s="31"/>
      <c r="M9" s="33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4.25" hidden="false" customHeight="true" outlineLevel="0" collapsed="false">
      <c r="A10" s="28"/>
      <c r="B10" s="32" t="s">
        <v>18</v>
      </c>
      <c r="C10" s="36"/>
      <c r="D10" s="30"/>
      <c r="E10" s="31"/>
      <c r="F10" s="31"/>
      <c r="G10" s="31"/>
      <c r="H10" s="31"/>
      <c r="I10" s="32" t="s">
        <v>19</v>
      </c>
      <c r="J10" s="29"/>
      <c r="K10" s="31"/>
      <c r="L10" s="29"/>
      <c r="M10" s="33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4.25" hidden="false" customHeight="true" outlineLevel="0" collapsed="false">
      <c r="A11" s="37" t="s">
        <v>20</v>
      </c>
      <c r="B11" s="38" t="n">
        <v>0.5</v>
      </c>
      <c r="C11" s="38" t="n">
        <v>1</v>
      </c>
      <c r="D11" s="38" t="n">
        <f aca="false">'Faktoren PKW-E'!B16</f>
        <v>1</v>
      </c>
      <c r="E11" s="38" t="n">
        <v>1.5</v>
      </c>
      <c r="F11" s="38" t="n">
        <v>1.5</v>
      </c>
      <c r="G11" s="38" t="n">
        <v>1.5</v>
      </c>
      <c r="H11" s="38" t="n">
        <v>2</v>
      </c>
      <c r="I11" s="38" t="n">
        <v>1.5</v>
      </c>
      <c r="J11" s="39"/>
      <c r="K11" s="39"/>
      <c r="L11" s="39"/>
      <c r="M11" s="39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4.25" hidden="false" customHeight="true" outlineLevel="0" collapsed="false">
      <c r="A12" s="40"/>
      <c r="B12" s="19"/>
      <c r="C12" s="41" t="s">
        <v>21</v>
      </c>
      <c r="D12" s="19" t="s">
        <v>22</v>
      </c>
      <c r="E12" s="41" t="s">
        <v>23</v>
      </c>
      <c r="F12" s="41" t="s">
        <v>24</v>
      </c>
      <c r="G12" s="41"/>
      <c r="H12" s="41" t="s">
        <v>25</v>
      </c>
      <c r="I12" s="41" t="s">
        <v>26</v>
      </c>
      <c r="J12" s="42" t="s">
        <v>27</v>
      </c>
      <c r="K12" s="42" t="s">
        <v>27</v>
      </c>
      <c r="L12" s="42" t="s">
        <v>27</v>
      </c>
      <c r="M12" s="42" t="s">
        <v>28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4.25" hidden="false" customHeight="true" outlineLevel="0" collapsed="false">
      <c r="A13" s="43" t="s">
        <v>29</v>
      </c>
      <c r="B13" s="41" t="s">
        <v>30</v>
      </c>
      <c r="C13" s="41" t="s">
        <v>28</v>
      </c>
      <c r="D13" s="41" t="s">
        <v>31</v>
      </c>
      <c r="E13" s="41" t="s">
        <v>32</v>
      </c>
      <c r="F13" s="41" t="s">
        <v>32</v>
      </c>
      <c r="G13" s="41" t="s">
        <v>33</v>
      </c>
      <c r="H13" s="41" t="s">
        <v>34</v>
      </c>
      <c r="I13" s="41" t="s">
        <v>28</v>
      </c>
      <c r="J13" s="42" t="s">
        <v>35</v>
      </c>
      <c r="K13" s="42" t="s">
        <v>36</v>
      </c>
      <c r="L13" s="42" t="s">
        <v>37</v>
      </c>
      <c r="M13" s="42" t="s">
        <v>37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4.25" hidden="false" customHeight="true" outlineLevel="0" collapsed="false">
      <c r="A14" s="44" t="s">
        <v>38</v>
      </c>
      <c r="B14" s="45" t="n">
        <v>0</v>
      </c>
      <c r="C14" s="45" t="n">
        <v>0</v>
      </c>
      <c r="D14" s="45" t="n">
        <v>2</v>
      </c>
      <c r="E14" s="45" t="n">
        <v>0</v>
      </c>
      <c r="F14" s="45" t="n">
        <v>0</v>
      </c>
      <c r="G14" s="45" t="n">
        <v>0</v>
      </c>
      <c r="H14" s="45" t="n">
        <v>0</v>
      </c>
      <c r="I14" s="45" t="n">
        <v>0</v>
      </c>
      <c r="J14" s="46" t="n">
        <f aca="false">SUMPRODUCT(B14:I14,$B$11:$I$11)</f>
        <v>2</v>
      </c>
      <c r="K14" s="47"/>
      <c r="L14" s="47"/>
      <c r="M14" s="47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 customFormat="false" ht="14.25" hidden="false" customHeight="true" outlineLevel="0" collapsed="false">
      <c r="A15" s="44" t="s">
        <v>39</v>
      </c>
      <c r="B15" s="45" t="n">
        <v>0</v>
      </c>
      <c r="C15" s="45" t="n">
        <v>0</v>
      </c>
      <c r="D15" s="45" t="n">
        <v>3</v>
      </c>
      <c r="E15" s="45" t="n">
        <v>0</v>
      </c>
      <c r="F15" s="45" t="n">
        <v>0</v>
      </c>
      <c r="G15" s="45" t="n">
        <v>0</v>
      </c>
      <c r="H15" s="45" t="n">
        <v>0</v>
      </c>
      <c r="I15" s="45" t="n">
        <v>0</v>
      </c>
      <c r="J15" s="46" t="n">
        <f aca="false">SUMPRODUCT(B15:I15,$B$11:$I$11)</f>
        <v>3</v>
      </c>
      <c r="K15" s="50" t="n">
        <f aca="false">J15+J14</f>
        <v>5</v>
      </c>
      <c r="L15" s="51"/>
      <c r="M15" s="51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customFormat="false" ht="14.25" hidden="false" customHeight="true" outlineLevel="0" collapsed="false">
      <c r="A16" s="44" t="s">
        <v>40</v>
      </c>
      <c r="B16" s="45" t="n">
        <v>1</v>
      </c>
      <c r="C16" s="45" t="n">
        <v>0</v>
      </c>
      <c r="D16" s="45" t="n">
        <v>0</v>
      </c>
      <c r="E16" s="45" t="n">
        <v>0</v>
      </c>
      <c r="F16" s="45" t="n">
        <v>0</v>
      </c>
      <c r="G16" s="45" t="n">
        <v>0</v>
      </c>
      <c r="H16" s="45" t="n">
        <v>0</v>
      </c>
      <c r="I16" s="45" t="n">
        <v>0</v>
      </c>
      <c r="J16" s="46" t="n">
        <f aca="false">SUMPRODUCT(B16:I16,$B$11:$I$11)</f>
        <v>0.5</v>
      </c>
      <c r="K16" s="47"/>
      <c r="L16" s="50"/>
      <c r="M16" s="50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 customFormat="false" ht="14.25" hidden="false" customHeight="true" outlineLevel="0" collapsed="false">
      <c r="A17" s="44" t="s">
        <v>41</v>
      </c>
      <c r="B17" s="45" t="n">
        <v>0</v>
      </c>
      <c r="C17" s="45" t="n">
        <v>0</v>
      </c>
      <c r="D17" s="45" t="n">
        <v>3</v>
      </c>
      <c r="E17" s="45" t="n">
        <v>0</v>
      </c>
      <c r="F17" s="45" t="n">
        <v>0</v>
      </c>
      <c r="G17" s="45" t="n">
        <v>0</v>
      </c>
      <c r="H17" s="45" t="n">
        <v>0</v>
      </c>
      <c r="I17" s="45" t="n">
        <v>0</v>
      </c>
      <c r="J17" s="46" t="n">
        <f aca="false">SUMPRODUCT(B17:I17,$B$11:$I$11)</f>
        <v>3</v>
      </c>
      <c r="K17" s="50" t="n">
        <f aca="false">J17+J16</f>
        <v>3.5</v>
      </c>
      <c r="L17" s="50" t="n">
        <f aca="false">SUM(J14:J17)</f>
        <v>8.5</v>
      </c>
      <c r="M17" s="50" t="n">
        <f aca="false">SUM(C14:I17)</f>
        <v>8</v>
      </c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 customFormat="false" ht="14.25" hidden="false" customHeight="true" outlineLevel="0" collapsed="false">
      <c r="A18" s="44" t="s">
        <v>42</v>
      </c>
      <c r="B18" s="45" t="n">
        <v>0</v>
      </c>
      <c r="C18" s="45" t="n">
        <v>0</v>
      </c>
      <c r="D18" s="45" t="n">
        <v>7</v>
      </c>
      <c r="E18" s="45" t="n">
        <v>0</v>
      </c>
      <c r="F18" s="45" t="n">
        <v>0</v>
      </c>
      <c r="G18" s="45" t="n">
        <v>0</v>
      </c>
      <c r="H18" s="45" t="n">
        <v>0</v>
      </c>
      <c r="I18" s="45" t="n">
        <v>0</v>
      </c>
      <c r="J18" s="46" t="n">
        <f aca="false">SUMPRODUCT(B18:I18,$B$11:$I$11)</f>
        <v>7</v>
      </c>
      <c r="K18" s="47"/>
      <c r="L18" s="47"/>
      <c r="M18" s="47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 customFormat="false" ht="14.25" hidden="false" customHeight="true" outlineLevel="0" collapsed="false">
      <c r="A19" s="44" t="s">
        <v>43</v>
      </c>
      <c r="B19" s="45" t="n">
        <v>1</v>
      </c>
      <c r="C19" s="45" t="n">
        <v>0</v>
      </c>
      <c r="D19" s="45" t="n">
        <v>5</v>
      </c>
      <c r="E19" s="45" t="n">
        <v>0</v>
      </c>
      <c r="F19" s="45" t="n">
        <v>0</v>
      </c>
      <c r="G19" s="45" t="n">
        <v>0</v>
      </c>
      <c r="H19" s="45" t="n">
        <v>0</v>
      </c>
      <c r="I19" s="45" t="n">
        <v>0</v>
      </c>
      <c r="J19" s="46" t="n">
        <f aca="false">SUMPRODUCT(B19:I19,$B$11:$I$11)</f>
        <v>5.5</v>
      </c>
      <c r="K19" s="50" t="n">
        <f aca="false">J19+J18</f>
        <v>12.5</v>
      </c>
      <c r="L19" s="51"/>
      <c r="M19" s="51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 customFormat="false" ht="14.25" hidden="false" customHeight="true" outlineLevel="0" collapsed="false">
      <c r="A20" s="44" t="s">
        <v>44</v>
      </c>
      <c r="B20" s="45" t="n">
        <v>0</v>
      </c>
      <c r="C20" s="45" t="n">
        <v>0</v>
      </c>
      <c r="D20" s="45" t="n">
        <v>8</v>
      </c>
      <c r="E20" s="45" t="n">
        <v>0</v>
      </c>
      <c r="F20" s="45" t="n">
        <v>0</v>
      </c>
      <c r="G20" s="45" t="n">
        <v>0</v>
      </c>
      <c r="H20" s="45" t="n">
        <v>0</v>
      </c>
      <c r="I20" s="45" t="n">
        <v>0</v>
      </c>
      <c r="J20" s="46" t="n">
        <f aca="false">SUMPRODUCT(B20:I20,$B$11:$I$11)</f>
        <v>8</v>
      </c>
      <c r="K20" s="47"/>
      <c r="L20" s="50"/>
      <c r="M20" s="50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 customFormat="false" ht="14.25" hidden="false" customHeight="true" outlineLevel="0" collapsed="false">
      <c r="A21" s="44" t="s">
        <v>45</v>
      </c>
      <c r="B21" s="45" t="n">
        <v>0</v>
      </c>
      <c r="C21" s="45" t="n">
        <v>0</v>
      </c>
      <c r="D21" s="45" t="n">
        <v>15</v>
      </c>
      <c r="E21" s="45" t="n">
        <v>0</v>
      </c>
      <c r="F21" s="45" t="n">
        <v>0</v>
      </c>
      <c r="G21" s="45" t="n">
        <v>0</v>
      </c>
      <c r="H21" s="45" t="n">
        <v>0</v>
      </c>
      <c r="I21" s="45" t="n">
        <v>0</v>
      </c>
      <c r="J21" s="46" t="n">
        <f aca="false">SUMPRODUCT(B21:I21,$B$11:$I$11)</f>
        <v>15</v>
      </c>
      <c r="K21" s="50" t="n">
        <f aca="false">J21+J20</f>
        <v>23</v>
      </c>
      <c r="L21" s="50" t="n">
        <f aca="false">SUM(J18:J21)</f>
        <v>35.5</v>
      </c>
      <c r="M21" s="50" t="n">
        <f aca="false">SUM(C18:I21)</f>
        <v>35</v>
      </c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 customFormat="false" ht="14.25" hidden="false" customHeight="true" outlineLevel="0" collapsed="false">
      <c r="A22" s="44" t="s">
        <v>46</v>
      </c>
      <c r="B22" s="45" t="n">
        <v>0</v>
      </c>
      <c r="C22" s="45" t="n">
        <v>0</v>
      </c>
      <c r="D22" s="45" t="n">
        <v>1</v>
      </c>
      <c r="E22" s="45" t="n">
        <v>0</v>
      </c>
      <c r="F22" s="45" t="n">
        <v>0</v>
      </c>
      <c r="G22" s="45" t="n">
        <v>0</v>
      </c>
      <c r="H22" s="45" t="n">
        <v>0</v>
      </c>
      <c r="I22" s="45" t="n">
        <v>0</v>
      </c>
      <c r="J22" s="46" t="n">
        <f aca="false">SUMPRODUCT(B22:I22,$B$11:$I$11)</f>
        <v>1</v>
      </c>
      <c r="K22" s="47"/>
      <c r="L22" s="47"/>
      <c r="M22" s="47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 customFormat="false" ht="14.25" hidden="false" customHeight="true" outlineLevel="0" collapsed="false">
      <c r="A23" s="44" t="s">
        <v>47</v>
      </c>
      <c r="B23" s="45" t="n">
        <v>0</v>
      </c>
      <c r="C23" s="45" t="n">
        <v>0</v>
      </c>
      <c r="D23" s="45" t="n">
        <v>4</v>
      </c>
      <c r="E23" s="45" t="n">
        <v>0</v>
      </c>
      <c r="F23" s="45" t="n">
        <v>0</v>
      </c>
      <c r="G23" s="45" t="n">
        <v>0</v>
      </c>
      <c r="H23" s="45" t="n">
        <v>0</v>
      </c>
      <c r="I23" s="45" t="n">
        <v>0</v>
      </c>
      <c r="J23" s="46" t="n">
        <f aca="false">SUMPRODUCT(B23:I23,$B$11:$I$11)</f>
        <v>4</v>
      </c>
      <c r="K23" s="50" t="n">
        <f aca="false">J23+J22</f>
        <v>5</v>
      </c>
      <c r="L23" s="51"/>
      <c r="M23" s="51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 customFormat="false" ht="14.25" hidden="false" customHeight="true" outlineLevel="0" collapsed="false">
      <c r="A24" s="44" t="s">
        <v>48</v>
      </c>
      <c r="B24" s="45" t="n">
        <v>0</v>
      </c>
      <c r="C24" s="45" t="n">
        <v>0</v>
      </c>
      <c r="D24" s="45" t="n">
        <v>2</v>
      </c>
      <c r="E24" s="45" t="n">
        <v>0</v>
      </c>
      <c r="F24" s="45" t="n">
        <v>0</v>
      </c>
      <c r="G24" s="45" t="n">
        <v>0</v>
      </c>
      <c r="H24" s="45" t="n">
        <v>0</v>
      </c>
      <c r="I24" s="45" t="n">
        <v>1</v>
      </c>
      <c r="J24" s="46" t="n">
        <f aca="false">SUMPRODUCT(B24:I24,$B$11:$I$11)</f>
        <v>3.5</v>
      </c>
      <c r="K24" s="47"/>
      <c r="L24" s="50"/>
      <c r="M24" s="50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 customFormat="false" ht="14.25" hidden="false" customHeight="true" outlineLevel="0" collapsed="false">
      <c r="A25" s="44" t="s">
        <v>49</v>
      </c>
      <c r="B25" s="45" t="n">
        <v>0</v>
      </c>
      <c r="C25" s="45" t="n">
        <v>0</v>
      </c>
      <c r="D25" s="45" t="n">
        <v>1</v>
      </c>
      <c r="E25" s="45" t="n">
        <v>0</v>
      </c>
      <c r="F25" s="45" t="n">
        <v>0</v>
      </c>
      <c r="G25" s="45" t="n">
        <v>0</v>
      </c>
      <c r="H25" s="45" t="n">
        <v>0</v>
      </c>
      <c r="I25" s="45" t="n">
        <v>0</v>
      </c>
      <c r="J25" s="46" t="n">
        <f aca="false">SUMPRODUCT(B25:I25,$B$11:$I$11)</f>
        <v>1</v>
      </c>
      <c r="K25" s="50" t="n">
        <f aca="false">J25+J24</f>
        <v>4.5</v>
      </c>
      <c r="L25" s="50" t="n">
        <f aca="false">SUM(J22:J25)</f>
        <v>9.5</v>
      </c>
      <c r="M25" s="50" t="n">
        <f aca="false">SUM(C22:I25)</f>
        <v>9</v>
      </c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 customFormat="false" ht="14.25" hidden="false" customHeight="true" outlineLevel="0" collapsed="false">
      <c r="A26" s="44" t="s">
        <v>50</v>
      </c>
      <c r="B26" s="45" t="n">
        <v>0</v>
      </c>
      <c r="C26" s="45" t="n">
        <v>0</v>
      </c>
      <c r="D26" s="45" t="n">
        <v>0</v>
      </c>
      <c r="E26" s="45" t="n">
        <v>0</v>
      </c>
      <c r="F26" s="45" t="n">
        <v>0</v>
      </c>
      <c r="G26" s="45" t="n">
        <v>0</v>
      </c>
      <c r="H26" s="45" t="n">
        <v>0</v>
      </c>
      <c r="I26" s="45" t="n">
        <v>0</v>
      </c>
      <c r="J26" s="46" t="n">
        <f aca="false">SUMPRODUCT(B26:I26,$B$11:$I$11)</f>
        <v>0</v>
      </c>
      <c r="K26" s="47"/>
      <c r="L26" s="47"/>
      <c r="M26" s="47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 customFormat="false" ht="14.25" hidden="false" customHeight="true" outlineLevel="0" collapsed="false">
      <c r="A27" s="44" t="s">
        <v>51</v>
      </c>
      <c r="B27" s="45" t="n">
        <v>0</v>
      </c>
      <c r="C27" s="45" t="n">
        <v>0</v>
      </c>
      <c r="D27" s="45" t="n">
        <v>4</v>
      </c>
      <c r="E27" s="45" t="n">
        <v>0</v>
      </c>
      <c r="F27" s="45" t="n">
        <v>0</v>
      </c>
      <c r="G27" s="45" t="n">
        <v>0</v>
      </c>
      <c r="H27" s="45" t="n">
        <v>0</v>
      </c>
      <c r="I27" s="45" t="n">
        <v>0</v>
      </c>
      <c r="J27" s="46" t="n">
        <f aca="false">SUMPRODUCT(B27:I27,$B$11:$I$11)</f>
        <v>4</v>
      </c>
      <c r="K27" s="50" t="n">
        <f aca="false">J27+J26</f>
        <v>4</v>
      </c>
      <c r="L27" s="51"/>
      <c r="M27" s="51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 customFormat="false" ht="14.25" hidden="false" customHeight="true" outlineLevel="0" collapsed="false">
      <c r="A28" s="44" t="s">
        <v>52</v>
      </c>
      <c r="B28" s="45" t="n">
        <v>0</v>
      </c>
      <c r="C28" s="45" t="n">
        <v>0</v>
      </c>
      <c r="D28" s="45" t="n">
        <v>0</v>
      </c>
      <c r="E28" s="45" t="n">
        <v>0</v>
      </c>
      <c r="F28" s="45" t="n">
        <v>0</v>
      </c>
      <c r="G28" s="45" t="n">
        <v>0</v>
      </c>
      <c r="H28" s="45" t="n">
        <v>0</v>
      </c>
      <c r="I28" s="45" t="n">
        <v>0</v>
      </c>
      <c r="J28" s="46" t="n">
        <f aca="false">SUMPRODUCT(B28:I28,$B$11:$I$11)</f>
        <v>0</v>
      </c>
      <c r="K28" s="47"/>
      <c r="L28" s="50"/>
      <c r="M28" s="50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 customFormat="false" ht="14.25" hidden="false" customHeight="true" outlineLevel="0" collapsed="false">
      <c r="A29" s="44" t="s">
        <v>53</v>
      </c>
      <c r="B29" s="45" t="n">
        <v>1</v>
      </c>
      <c r="C29" s="45" t="n">
        <v>0</v>
      </c>
      <c r="D29" s="45" t="n">
        <v>1</v>
      </c>
      <c r="E29" s="45" t="n">
        <v>0</v>
      </c>
      <c r="F29" s="45" t="n">
        <v>0</v>
      </c>
      <c r="G29" s="45" t="n">
        <v>1</v>
      </c>
      <c r="H29" s="45" t="n">
        <v>0</v>
      </c>
      <c r="I29" s="45" t="n">
        <v>0</v>
      </c>
      <c r="J29" s="46" t="n">
        <f aca="false">SUMPRODUCT(B29:I29,$B$11:$I$11)</f>
        <v>3</v>
      </c>
      <c r="K29" s="50" t="n">
        <f aca="false">J29+J28</f>
        <v>3</v>
      </c>
      <c r="L29" s="50" t="n">
        <f aca="false">SUM(J26:J29)</f>
        <v>7</v>
      </c>
      <c r="M29" s="50" t="n">
        <f aca="false">SUM(C26:I29)</f>
        <v>6</v>
      </c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 customFormat="false" ht="14.25" hidden="false" customHeight="true" outlineLevel="0" collapsed="false">
      <c r="A30" s="44" t="s">
        <v>54</v>
      </c>
      <c r="B30" s="45" t="n">
        <v>0</v>
      </c>
      <c r="C30" s="45" t="n">
        <v>0</v>
      </c>
      <c r="D30" s="45" t="n">
        <v>0</v>
      </c>
      <c r="E30" s="45" t="n">
        <v>0</v>
      </c>
      <c r="F30" s="45" t="n">
        <v>0</v>
      </c>
      <c r="G30" s="45" t="n">
        <v>0</v>
      </c>
      <c r="H30" s="45" t="n">
        <v>0</v>
      </c>
      <c r="I30" s="45" t="n">
        <v>1</v>
      </c>
      <c r="J30" s="46" t="n">
        <f aca="false">SUMPRODUCT(B30:I30,$B$11:$I$11)</f>
        <v>1.5</v>
      </c>
      <c r="K30" s="47"/>
      <c r="L30" s="47"/>
      <c r="M30" s="47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 customFormat="false" ht="14.25" hidden="false" customHeight="true" outlineLevel="0" collapsed="false">
      <c r="A31" s="44" t="s">
        <v>55</v>
      </c>
      <c r="B31" s="45" t="n">
        <v>0</v>
      </c>
      <c r="C31" s="45" t="n">
        <v>0</v>
      </c>
      <c r="D31" s="45" t="n">
        <v>0</v>
      </c>
      <c r="E31" s="45" t="n">
        <v>0</v>
      </c>
      <c r="F31" s="45" t="n">
        <v>0</v>
      </c>
      <c r="G31" s="45" t="n">
        <v>0</v>
      </c>
      <c r="H31" s="45" t="n">
        <v>0</v>
      </c>
      <c r="I31" s="45" t="n">
        <v>0</v>
      </c>
      <c r="J31" s="46" t="n">
        <f aca="false">SUMPRODUCT(B31:I31,$B$11:$I$11)</f>
        <v>0</v>
      </c>
      <c r="K31" s="50" t="n">
        <f aca="false">J31+J30</f>
        <v>1.5</v>
      </c>
      <c r="L31" s="51"/>
      <c r="M31" s="51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 customFormat="false" ht="14.25" hidden="false" customHeight="true" outlineLevel="0" collapsed="false">
      <c r="A32" s="44" t="s">
        <v>56</v>
      </c>
      <c r="B32" s="45" t="n">
        <v>0</v>
      </c>
      <c r="C32" s="45" t="n">
        <v>0</v>
      </c>
      <c r="D32" s="45" t="n">
        <v>1</v>
      </c>
      <c r="E32" s="45" t="n">
        <v>0</v>
      </c>
      <c r="F32" s="45" t="n">
        <v>0</v>
      </c>
      <c r="G32" s="45" t="n">
        <v>0</v>
      </c>
      <c r="H32" s="45" t="n">
        <v>0</v>
      </c>
      <c r="I32" s="45" t="n">
        <v>0</v>
      </c>
      <c r="J32" s="46" t="n">
        <f aca="false">SUMPRODUCT(B32:I32,$B$11:$I$11)</f>
        <v>1</v>
      </c>
      <c r="K32" s="47"/>
      <c r="L32" s="50"/>
      <c r="M32" s="50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 customFormat="false" ht="14.25" hidden="false" customHeight="true" outlineLevel="0" collapsed="false">
      <c r="A33" s="44" t="s">
        <v>57</v>
      </c>
      <c r="B33" s="45" t="n">
        <v>0</v>
      </c>
      <c r="C33" s="45" t="n">
        <v>0</v>
      </c>
      <c r="D33" s="45" t="n">
        <v>2</v>
      </c>
      <c r="E33" s="45" t="n">
        <v>0</v>
      </c>
      <c r="F33" s="45" t="n">
        <v>0</v>
      </c>
      <c r="G33" s="45" t="n">
        <v>0</v>
      </c>
      <c r="H33" s="45" t="n">
        <v>0</v>
      </c>
      <c r="I33" s="45" t="n">
        <v>0</v>
      </c>
      <c r="J33" s="46" t="n">
        <f aca="false">SUMPRODUCT(B33:I33,$B$11:$I$11)</f>
        <v>2</v>
      </c>
      <c r="K33" s="50" t="n">
        <f aca="false">J33+J32</f>
        <v>3</v>
      </c>
      <c r="L33" s="50" t="n">
        <f aca="false">SUM(J30:J33)</f>
        <v>4.5</v>
      </c>
      <c r="M33" s="50" t="n">
        <f aca="false">SUM(C30:I33)</f>
        <v>4</v>
      </c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 customFormat="false" ht="14.25" hidden="false" customHeight="true" outlineLevel="0" collapsed="false">
      <c r="A34" s="44" t="s">
        <v>58</v>
      </c>
      <c r="B34" s="45" t="n">
        <v>0</v>
      </c>
      <c r="C34" s="45" t="n">
        <v>0</v>
      </c>
      <c r="D34" s="45" t="n">
        <v>4</v>
      </c>
      <c r="E34" s="45" t="n">
        <v>0</v>
      </c>
      <c r="F34" s="45" t="n">
        <v>0</v>
      </c>
      <c r="G34" s="45" t="n">
        <v>0</v>
      </c>
      <c r="H34" s="45" t="n">
        <v>0</v>
      </c>
      <c r="I34" s="45" t="n">
        <v>0</v>
      </c>
      <c r="J34" s="46" t="n">
        <f aca="false">SUMPRODUCT(B34:I34,$B$11:$I$11)</f>
        <v>4</v>
      </c>
      <c r="K34" s="47"/>
      <c r="L34" s="47"/>
      <c r="M34" s="47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 customFormat="false" ht="14.25" hidden="false" customHeight="true" outlineLevel="0" collapsed="false">
      <c r="A35" s="44" t="s">
        <v>59</v>
      </c>
      <c r="B35" s="45" t="n">
        <v>0</v>
      </c>
      <c r="C35" s="45" t="n">
        <v>0</v>
      </c>
      <c r="D35" s="45" t="n">
        <v>1</v>
      </c>
      <c r="E35" s="45" t="n">
        <v>0</v>
      </c>
      <c r="F35" s="45" t="n">
        <v>0</v>
      </c>
      <c r="G35" s="45" t="n">
        <v>0</v>
      </c>
      <c r="H35" s="45" t="n">
        <v>0</v>
      </c>
      <c r="I35" s="45" t="n">
        <v>0</v>
      </c>
      <c r="J35" s="46" t="n">
        <f aca="false">SUMPRODUCT(B35:I35,$B$11:$I$11)</f>
        <v>1</v>
      </c>
      <c r="K35" s="50" t="n">
        <f aca="false">J35+J34</f>
        <v>5</v>
      </c>
      <c r="L35" s="51"/>
      <c r="M35" s="51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 customFormat="false" ht="14.25" hidden="false" customHeight="true" outlineLevel="0" collapsed="false">
      <c r="A36" s="44" t="s">
        <v>60</v>
      </c>
      <c r="B36" s="45" t="n">
        <v>0</v>
      </c>
      <c r="C36" s="45" t="n">
        <v>0</v>
      </c>
      <c r="D36" s="45" t="n">
        <v>5</v>
      </c>
      <c r="E36" s="45" t="n">
        <v>0</v>
      </c>
      <c r="F36" s="45" t="n">
        <v>0</v>
      </c>
      <c r="G36" s="45" t="n">
        <v>0</v>
      </c>
      <c r="H36" s="45" t="n">
        <v>0</v>
      </c>
      <c r="I36" s="45" t="n">
        <v>0</v>
      </c>
      <c r="J36" s="46" t="n">
        <f aca="false">SUMPRODUCT(B36:I36,$B$11:$I$11)</f>
        <v>5</v>
      </c>
      <c r="K36" s="47"/>
      <c r="L36" s="50"/>
      <c r="M36" s="50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 customFormat="false" ht="14.25" hidden="false" customHeight="true" outlineLevel="0" collapsed="false">
      <c r="A37" s="44" t="s">
        <v>61</v>
      </c>
      <c r="B37" s="45" t="n">
        <v>0</v>
      </c>
      <c r="C37" s="45" t="n">
        <v>0</v>
      </c>
      <c r="D37" s="45" t="n">
        <v>7</v>
      </c>
      <c r="E37" s="45" t="n">
        <v>0</v>
      </c>
      <c r="F37" s="45" t="n">
        <v>0</v>
      </c>
      <c r="G37" s="45" t="n">
        <v>0</v>
      </c>
      <c r="H37" s="45" t="n">
        <v>0</v>
      </c>
      <c r="I37" s="45" t="n">
        <v>0</v>
      </c>
      <c r="J37" s="46" t="n">
        <f aca="false">SUMPRODUCT(B37:I37,$B$11:$I$11)</f>
        <v>7</v>
      </c>
      <c r="K37" s="50" t="n">
        <f aca="false">J37+J36</f>
        <v>12</v>
      </c>
      <c r="L37" s="50" t="n">
        <f aca="false">SUM(J34:J37)</f>
        <v>17</v>
      </c>
      <c r="M37" s="50" t="n">
        <f aca="false">SUM(C34:I37)</f>
        <v>17</v>
      </c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 customFormat="false" ht="14.25" hidden="false" customHeight="true" outlineLevel="0" collapsed="false">
      <c r="A38" s="44" t="s">
        <v>62</v>
      </c>
      <c r="B38" s="45" t="n">
        <v>0</v>
      </c>
      <c r="C38" s="45" t="n">
        <v>0</v>
      </c>
      <c r="D38" s="45" t="n">
        <v>0</v>
      </c>
      <c r="E38" s="45" t="n">
        <v>0</v>
      </c>
      <c r="F38" s="45" t="n">
        <v>0</v>
      </c>
      <c r="G38" s="45" t="n">
        <v>0</v>
      </c>
      <c r="H38" s="45" t="n">
        <v>0</v>
      </c>
      <c r="I38" s="45" t="n">
        <v>0</v>
      </c>
      <c r="J38" s="46" t="n">
        <f aca="false">SUMPRODUCT(B38:I38,$B$11:$I$11)</f>
        <v>0</v>
      </c>
      <c r="K38" s="47"/>
      <c r="L38" s="47"/>
      <c r="M38" s="47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 customFormat="false" ht="14.25" hidden="false" customHeight="true" outlineLevel="0" collapsed="false">
      <c r="A39" s="44" t="s">
        <v>63</v>
      </c>
      <c r="B39" s="45" t="n">
        <v>0</v>
      </c>
      <c r="C39" s="45" t="n">
        <v>0</v>
      </c>
      <c r="D39" s="45" t="n">
        <v>1</v>
      </c>
      <c r="E39" s="45" t="n">
        <v>0</v>
      </c>
      <c r="F39" s="45" t="n">
        <v>0</v>
      </c>
      <c r="G39" s="45" t="n">
        <v>0</v>
      </c>
      <c r="H39" s="45" t="n">
        <v>0</v>
      </c>
      <c r="I39" s="45" t="n">
        <v>0</v>
      </c>
      <c r="J39" s="46" t="n">
        <f aca="false">SUMPRODUCT(B39:I39,$B$11:$I$11)</f>
        <v>1</v>
      </c>
      <c r="K39" s="50" t="n">
        <f aca="false">J39+J38</f>
        <v>1</v>
      </c>
      <c r="L39" s="51"/>
      <c r="M39" s="51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 customFormat="false" ht="14.25" hidden="false" customHeight="true" outlineLevel="0" collapsed="false">
      <c r="A40" s="44" t="s">
        <v>64</v>
      </c>
      <c r="B40" s="45" t="n">
        <v>1</v>
      </c>
      <c r="C40" s="45" t="n">
        <v>0</v>
      </c>
      <c r="D40" s="45" t="n">
        <v>1</v>
      </c>
      <c r="E40" s="45" t="n">
        <v>0</v>
      </c>
      <c r="F40" s="45" t="n">
        <v>0</v>
      </c>
      <c r="G40" s="45" t="n">
        <v>0</v>
      </c>
      <c r="H40" s="45" t="n">
        <v>0</v>
      </c>
      <c r="I40" s="45" t="n">
        <v>0</v>
      </c>
      <c r="J40" s="46" t="n">
        <f aca="false">SUMPRODUCT(B40:I40,$B$11:$I$11)</f>
        <v>1.5</v>
      </c>
      <c r="K40" s="47"/>
      <c r="L40" s="50"/>
      <c r="M40" s="50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 customFormat="false" ht="14.25" hidden="false" customHeight="true" outlineLevel="0" collapsed="false">
      <c r="A41" s="44" t="s">
        <v>65</v>
      </c>
      <c r="B41" s="45" t="n">
        <v>2</v>
      </c>
      <c r="C41" s="45" t="n">
        <v>0</v>
      </c>
      <c r="D41" s="45" t="n">
        <v>2</v>
      </c>
      <c r="E41" s="45" t="n">
        <v>0</v>
      </c>
      <c r="F41" s="45" t="n">
        <v>0</v>
      </c>
      <c r="G41" s="45" t="n">
        <v>0</v>
      </c>
      <c r="H41" s="45" t="n">
        <v>0</v>
      </c>
      <c r="I41" s="45" t="n">
        <v>0</v>
      </c>
      <c r="J41" s="46" t="n">
        <f aca="false">SUMPRODUCT(B41:I41,$B$11:$I$11)</f>
        <v>3</v>
      </c>
      <c r="K41" s="50" t="n">
        <f aca="false">J41+J40</f>
        <v>4.5</v>
      </c>
      <c r="L41" s="50" t="n">
        <f aca="false">SUM(J38:J41)</f>
        <v>5.5</v>
      </c>
      <c r="M41" s="50" t="n">
        <f aca="false">SUM(C38:I41)</f>
        <v>4</v>
      </c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 customFormat="false" ht="14.25" hidden="false" customHeight="true" outlineLevel="0" collapsed="false">
      <c r="A42" s="44" t="s">
        <v>66</v>
      </c>
      <c r="B42" s="45" t="n">
        <v>0</v>
      </c>
      <c r="C42" s="45" t="n">
        <v>0</v>
      </c>
      <c r="D42" s="45" t="n">
        <v>2</v>
      </c>
      <c r="E42" s="45" t="n">
        <v>0</v>
      </c>
      <c r="F42" s="45" t="n">
        <v>0</v>
      </c>
      <c r="G42" s="45" t="n">
        <v>0</v>
      </c>
      <c r="H42" s="45" t="n">
        <v>0</v>
      </c>
      <c r="I42" s="45" t="n">
        <v>0</v>
      </c>
      <c r="J42" s="46" t="n">
        <f aca="false">SUMPRODUCT(B42:I42,$B$11:$I$11)</f>
        <v>2</v>
      </c>
      <c r="K42" s="47"/>
      <c r="L42" s="47"/>
      <c r="M42" s="47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 customFormat="false" ht="14.25" hidden="false" customHeight="true" outlineLevel="0" collapsed="false">
      <c r="A43" s="44" t="s">
        <v>67</v>
      </c>
      <c r="B43" s="45" t="n">
        <v>1</v>
      </c>
      <c r="C43" s="45" t="n">
        <v>0</v>
      </c>
      <c r="D43" s="45" t="n">
        <v>1</v>
      </c>
      <c r="E43" s="45" t="n">
        <v>0</v>
      </c>
      <c r="F43" s="45" t="n">
        <v>0</v>
      </c>
      <c r="G43" s="45" t="n">
        <v>1</v>
      </c>
      <c r="H43" s="45" t="n">
        <v>0</v>
      </c>
      <c r="I43" s="45" t="n">
        <v>0</v>
      </c>
      <c r="J43" s="46" t="n">
        <f aca="false">SUMPRODUCT(B43:I43,$B$11:$I$11)</f>
        <v>3</v>
      </c>
      <c r="K43" s="50" t="n">
        <f aca="false">J43+J42</f>
        <v>5</v>
      </c>
      <c r="L43" s="51"/>
      <c r="M43" s="51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customFormat="false" ht="14.25" hidden="false" customHeight="true" outlineLevel="0" collapsed="false">
      <c r="A44" s="44" t="s">
        <v>68</v>
      </c>
      <c r="B44" s="45" t="n">
        <v>0</v>
      </c>
      <c r="C44" s="45" t="n">
        <v>0</v>
      </c>
      <c r="D44" s="45" t="n">
        <v>1</v>
      </c>
      <c r="E44" s="45" t="n">
        <v>0</v>
      </c>
      <c r="F44" s="45" t="n">
        <v>0</v>
      </c>
      <c r="G44" s="45" t="n">
        <v>0</v>
      </c>
      <c r="H44" s="45" t="n">
        <v>0</v>
      </c>
      <c r="I44" s="45" t="n">
        <v>0</v>
      </c>
      <c r="J44" s="46" t="n">
        <f aca="false">SUMPRODUCT(B44:I44,$B$11:$I$11)</f>
        <v>1</v>
      </c>
      <c r="K44" s="47"/>
      <c r="L44" s="50"/>
      <c r="M44" s="50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customFormat="false" ht="14.25" hidden="false" customHeight="true" outlineLevel="0" collapsed="false">
      <c r="A45" s="44" t="s">
        <v>69</v>
      </c>
      <c r="B45" s="45" t="n">
        <v>0</v>
      </c>
      <c r="C45" s="45" t="n">
        <v>0</v>
      </c>
      <c r="D45" s="45" t="n">
        <v>1</v>
      </c>
      <c r="E45" s="45" t="n">
        <v>0</v>
      </c>
      <c r="F45" s="45" t="n">
        <v>0</v>
      </c>
      <c r="G45" s="45" t="n">
        <v>0</v>
      </c>
      <c r="H45" s="45" t="n">
        <v>1</v>
      </c>
      <c r="I45" s="45" t="n">
        <v>2</v>
      </c>
      <c r="J45" s="46" t="n">
        <f aca="false">SUMPRODUCT(B45:I45,$B$11:$I$11)</f>
        <v>6</v>
      </c>
      <c r="K45" s="50" t="n">
        <f aca="false">J45+J44</f>
        <v>7</v>
      </c>
      <c r="L45" s="50" t="n">
        <f aca="false">SUM(J42:J45)</f>
        <v>12</v>
      </c>
      <c r="M45" s="50" t="n">
        <f aca="false">SUM(C42:I45)</f>
        <v>9</v>
      </c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 customFormat="false" ht="14.25" hidden="false" customHeight="true" outlineLevel="0" collapsed="false">
      <c r="A46" s="44" t="s">
        <v>70</v>
      </c>
      <c r="B46" s="45" t="n">
        <v>0</v>
      </c>
      <c r="C46" s="45" t="n">
        <v>0</v>
      </c>
      <c r="D46" s="45" t="n">
        <v>5</v>
      </c>
      <c r="E46" s="45" t="n">
        <v>0</v>
      </c>
      <c r="F46" s="45" t="n">
        <v>0</v>
      </c>
      <c r="G46" s="45" t="n">
        <v>0</v>
      </c>
      <c r="H46" s="45" t="n">
        <v>0</v>
      </c>
      <c r="I46" s="45" t="n">
        <v>0</v>
      </c>
      <c r="J46" s="46" t="n">
        <f aca="false">SUMPRODUCT(B46:I46,$B$11:$I$11)</f>
        <v>5</v>
      </c>
      <c r="K46" s="47"/>
      <c r="L46" s="47"/>
      <c r="M46" s="47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customFormat="false" ht="14.25" hidden="false" customHeight="true" outlineLevel="0" collapsed="false">
      <c r="A47" s="44" t="s">
        <v>71</v>
      </c>
      <c r="B47" s="45" t="n">
        <v>0</v>
      </c>
      <c r="C47" s="45" t="n">
        <v>0</v>
      </c>
      <c r="D47" s="45" t="n">
        <v>1</v>
      </c>
      <c r="E47" s="45" t="n">
        <v>0</v>
      </c>
      <c r="F47" s="45" t="n">
        <v>0</v>
      </c>
      <c r="G47" s="45" t="n">
        <v>0</v>
      </c>
      <c r="H47" s="45" t="n">
        <v>0</v>
      </c>
      <c r="I47" s="45" t="n">
        <v>0</v>
      </c>
      <c r="J47" s="46" t="n">
        <f aca="false">SUMPRODUCT(B47:I47,$B$11:$I$11)</f>
        <v>1</v>
      </c>
      <c r="K47" s="50" t="n">
        <f aca="false">J47+J46</f>
        <v>6</v>
      </c>
      <c r="L47" s="51"/>
      <c r="M47" s="51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 customFormat="false" ht="14.25" hidden="false" customHeight="true" outlineLevel="0" collapsed="false">
      <c r="A48" s="44" t="s">
        <v>72</v>
      </c>
      <c r="B48" s="45" t="n">
        <v>0</v>
      </c>
      <c r="C48" s="45" t="n">
        <v>0</v>
      </c>
      <c r="D48" s="45" t="n">
        <v>3</v>
      </c>
      <c r="E48" s="45" t="n">
        <v>0</v>
      </c>
      <c r="F48" s="45" t="n">
        <v>0</v>
      </c>
      <c r="G48" s="45" t="n">
        <v>0</v>
      </c>
      <c r="H48" s="45" t="n">
        <v>0</v>
      </c>
      <c r="I48" s="45" t="n">
        <v>0</v>
      </c>
      <c r="J48" s="46" t="n">
        <f aca="false">SUMPRODUCT(B48:I48,$B$11:$I$11)</f>
        <v>3</v>
      </c>
      <c r="K48" s="47"/>
      <c r="L48" s="50"/>
      <c r="M48" s="50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 customFormat="false" ht="14.25" hidden="false" customHeight="true" outlineLevel="0" collapsed="false">
      <c r="A49" s="44" t="s">
        <v>73</v>
      </c>
      <c r="B49" s="45" t="n">
        <v>0</v>
      </c>
      <c r="C49" s="45" t="n">
        <v>0</v>
      </c>
      <c r="D49" s="45" t="n">
        <v>1</v>
      </c>
      <c r="E49" s="45" t="n">
        <v>0</v>
      </c>
      <c r="F49" s="45" t="n">
        <v>0</v>
      </c>
      <c r="G49" s="45" t="n">
        <v>0</v>
      </c>
      <c r="H49" s="45" t="n">
        <v>0</v>
      </c>
      <c r="I49" s="45" t="n">
        <v>0</v>
      </c>
      <c r="J49" s="46" t="n">
        <f aca="false">SUMPRODUCT(B49:I49,$B$11:$I$11)</f>
        <v>1</v>
      </c>
      <c r="K49" s="50" t="n">
        <f aca="false">J49+J48</f>
        <v>4</v>
      </c>
      <c r="L49" s="50" t="n">
        <f aca="false">SUM(J46:J49)</f>
        <v>10</v>
      </c>
      <c r="M49" s="50" t="n">
        <f aca="false">SUM(C46:I49)</f>
        <v>10</v>
      </c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 customFormat="false" ht="14.25" hidden="false" customHeight="true" outlineLevel="0" collapsed="false">
      <c r="A50" s="44" t="s">
        <v>74</v>
      </c>
      <c r="B50" s="45" t="n">
        <v>0</v>
      </c>
      <c r="C50" s="45" t="n">
        <v>0</v>
      </c>
      <c r="D50" s="45" t="n">
        <v>4</v>
      </c>
      <c r="E50" s="45" t="n">
        <v>0</v>
      </c>
      <c r="F50" s="45" t="n">
        <v>0</v>
      </c>
      <c r="G50" s="45" t="n">
        <v>0</v>
      </c>
      <c r="H50" s="45" t="n">
        <v>0</v>
      </c>
      <c r="I50" s="45" t="n">
        <v>0</v>
      </c>
      <c r="J50" s="46" t="n">
        <f aca="false">SUMPRODUCT(B50:I50,$B$11:$I$11)</f>
        <v>4</v>
      </c>
      <c r="K50" s="47"/>
      <c r="L50" s="47"/>
      <c r="M50" s="47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 customFormat="false" ht="14.25" hidden="false" customHeight="true" outlineLevel="0" collapsed="false">
      <c r="A51" s="44" t="s">
        <v>75</v>
      </c>
      <c r="B51" s="45" t="n">
        <v>0</v>
      </c>
      <c r="C51" s="45" t="n">
        <v>0</v>
      </c>
      <c r="D51" s="45" t="n">
        <v>1</v>
      </c>
      <c r="E51" s="45" t="n">
        <v>0</v>
      </c>
      <c r="F51" s="45" t="n">
        <v>0</v>
      </c>
      <c r="G51" s="45" t="n">
        <v>0</v>
      </c>
      <c r="H51" s="45" t="n">
        <v>0</v>
      </c>
      <c r="I51" s="45" t="n">
        <v>0</v>
      </c>
      <c r="J51" s="46" t="n">
        <f aca="false">SUMPRODUCT(B51:I51,$B$11:$I$11)</f>
        <v>1</v>
      </c>
      <c r="K51" s="50" t="n">
        <f aca="false">J51+J50</f>
        <v>5</v>
      </c>
      <c r="L51" s="51"/>
      <c r="M51" s="51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 customFormat="false" ht="14.25" hidden="false" customHeight="true" outlineLevel="0" collapsed="false">
      <c r="A52" s="44" t="s">
        <v>76</v>
      </c>
      <c r="B52" s="45" t="n">
        <v>1</v>
      </c>
      <c r="C52" s="45" t="n">
        <v>0</v>
      </c>
      <c r="D52" s="45" t="n">
        <v>4</v>
      </c>
      <c r="E52" s="45" t="n">
        <v>0</v>
      </c>
      <c r="F52" s="45" t="n">
        <v>0</v>
      </c>
      <c r="G52" s="45" t="n">
        <v>0</v>
      </c>
      <c r="H52" s="45" t="n">
        <v>0</v>
      </c>
      <c r="I52" s="45" t="n">
        <v>0</v>
      </c>
      <c r="J52" s="46" t="n">
        <f aca="false">SUMPRODUCT(B52:I52,$B$11:$I$11)</f>
        <v>4.5</v>
      </c>
      <c r="K52" s="47"/>
      <c r="L52" s="50"/>
      <c r="M52" s="50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 customFormat="false" ht="14.25" hidden="false" customHeight="true" outlineLevel="0" collapsed="false">
      <c r="A53" s="44" t="s">
        <v>77</v>
      </c>
      <c r="B53" s="45" t="n">
        <v>0</v>
      </c>
      <c r="C53" s="45" t="n">
        <v>0</v>
      </c>
      <c r="D53" s="45" t="n">
        <v>3</v>
      </c>
      <c r="E53" s="45" t="n">
        <v>0</v>
      </c>
      <c r="F53" s="45" t="n">
        <v>0</v>
      </c>
      <c r="G53" s="45" t="n">
        <v>0</v>
      </c>
      <c r="H53" s="45" t="n">
        <v>0</v>
      </c>
      <c r="I53" s="45" t="n">
        <v>0</v>
      </c>
      <c r="J53" s="46" t="n">
        <f aca="false">SUMPRODUCT(B53:I53,$B$11:$I$11)</f>
        <v>3</v>
      </c>
      <c r="K53" s="52" t="n">
        <f aca="false">J53+J52</f>
        <v>7.5</v>
      </c>
      <c r="L53" s="50" t="n">
        <f aca="false">SUM(J50:J53)</f>
        <v>12.5</v>
      </c>
      <c r="M53" s="50" t="n">
        <f aca="false">SUM(C50:I53)</f>
        <v>12</v>
      </c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 customFormat="false" ht="14.25" hidden="false" customHeight="true" outlineLevel="0" collapsed="false">
      <c r="A54" s="44" t="s">
        <v>78</v>
      </c>
      <c r="B54" s="45" t="n">
        <v>1</v>
      </c>
      <c r="C54" s="45" t="n">
        <v>0</v>
      </c>
      <c r="D54" s="45" t="n">
        <v>2</v>
      </c>
      <c r="E54" s="45" t="n">
        <v>0</v>
      </c>
      <c r="F54" s="45" t="n">
        <v>0</v>
      </c>
      <c r="G54" s="45" t="n">
        <v>0</v>
      </c>
      <c r="H54" s="45" t="n">
        <v>0</v>
      </c>
      <c r="I54" s="45" t="n">
        <v>1</v>
      </c>
      <c r="J54" s="46" t="n">
        <f aca="false">SUMPRODUCT(B54:I54,$B$11:$I$11)</f>
        <v>4</v>
      </c>
      <c r="K54" s="47"/>
      <c r="L54" s="47"/>
      <c r="M54" s="47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 customFormat="false" ht="14.25" hidden="false" customHeight="true" outlineLevel="0" collapsed="false">
      <c r="A55" s="44" t="s">
        <v>79</v>
      </c>
      <c r="B55" s="45" t="n">
        <v>0</v>
      </c>
      <c r="C55" s="45" t="n">
        <v>0</v>
      </c>
      <c r="D55" s="45" t="n">
        <v>1</v>
      </c>
      <c r="E55" s="45" t="n">
        <v>0</v>
      </c>
      <c r="F55" s="45" t="n">
        <v>0</v>
      </c>
      <c r="G55" s="45" t="n">
        <v>0</v>
      </c>
      <c r="H55" s="45" t="n">
        <v>0</v>
      </c>
      <c r="I55" s="45" t="n">
        <v>0</v>
      </c>
      <c r="J55" s="46" t="n">
        <f aca="false">SUMPRODUCT(B55:I55,$B$11:$I$11)</f>
        <v>1</v>
      </c>
      <c r="K55" s="50" t="n">
        <f aca="false">J55+J54</f>
        <v>5</v>
      </c>
      <c r="L55" s="51"/>
      <c r="M55" s="51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 customFormat="false" ht="14.25" hidden="false" customHeight="true" outlineLevel="0" collapsed="false">
      <c r="A56" s="44" t="s">
        <v>80</v>
      </c>
      <c r="B56" s="45" t="n">
        <v>0</v>
      </c>
      <c r="C56" s="45" t="n">
        <v>0</v>
      </c>
      <c r="D56" s="45" t="n">
        <v>6</v>
      </c>
      <c r="E56" s="45" t="n">
        <v>0</v>
      </c>
      <c r="F56" s="45" t="n">
        <v>0</v>
      </c>
      <c r="G56" s="45" t="n">
        <v>0</v>
      </c>
      <c r="H56" s="45" t="n">
        <v>0</v>
      </c>
      <c r="I56" s="45" t="n">
        <v>0</v>
      </c>
      <c r="J56" s="46" t="n">
        <f aca="false">SUMPRODUCT(B56:I56,$B$11:$I$11)</f>
        <v>6</v>
      </c>
      <c r="K56" s="47"/>
      <c r="L56" s="50"/>
      <c r="M56" s="50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 customFormat="false" ht="14.25" hidden="false" customHeight="true" outlineLevel="0" collapsed="false">
      <c r="A57" s="44" t="s">
        <v>81</v>
      </c>
      <c r="B57" s="45" t="n">
        <v>0</v>
      </c>
      <c r="C57" s="45" t="n">
        <v>0</v>
      </c>
      <c r="D57" s="45" t="n">
        <v>2</v>
      </c>
      <c r="E57" s="45" t="n">
        <v>0</v>
      </c>
      <c r="F57" s="45" t="n">
        <v>0</v>
      </c>
      <c r="G57" s="45" t="n">
        <v>0</v>
      </c>
      <c r="H57" s="45" t="n">
        <v>0</v>
      </c>
      <c r="I57" s="45" t="n">
        <v>0</v>
      </c>
      <c r="J57" s="46" t="n">
        <f aca="false">SUMPRODUCT(B57:I57,$B$11:$I$11)</f>
        <v>2</v>
      </c>
      <c r="K57" s="50" t="n">
        <f aca="false">J57+J56</f>
        <v>8</v>
      </c>
      <c r="L57" s="50" t="n">
        <f aca="false">SUM(J54:J57)</f>
        <v>13</v>
      </c>
      <c r="M57" s="50" t="n">
        <f aca="false">SUM(C54:I57)</f>
        <v>12</v>
      </c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 customFormat="false" ht="14.25" hidden="false" customHeight="true" outlineLevel="0" collapsed="false">
      <c r="A58" s="44" t="s">
        <v>82</v>
      </c>
      <c r="B58" s="45" t="n">
        <v>0</v>
      </c>
      <c r="C58" s="45" t="n">
        <v>1</v>
      </c>
      <c r="D58" s="45" t="n">
        <v>2</v>
      </c>
      <c r="E58" s="45" t="n">
        <v>0</v>
      </c>
      <c r="F58" s="45" t="n">
        <v>0</v>
      </c>
      <c r="G58" s="45" t="n">
        <v>0</v>
      </c>
      <c r="H58" s="45" t="n">
        <v>0</v>
      </c>
      <c r="I58" s="45" t="n">
        <v>0</v>
      </c>
      <c r="J58" s="46" t="n">
        <f aca="false">SUMPRODUCT(B58:I58,$B$11:$I$11)</f>
        <v>3</v>
      </c>
      <c r="K58" s="47"/>
      <c r="L58" s="47"/>
      <c r="M58" s="47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 customFormat="false" ht="14.25" hidden="false" customHeight="true" outlineLevel="0" collapsed="false">
      <c r="A59" s="44" t="s">
        <v>83</v>
      </c>
      <c r="B59" s="45" t="n">
        <v>0</v>
      </c>
      <c r="C59" s="45" t="n">
        <v>0</v>
      </c>
      <c r="D59" s="45" t="n">
        <v>1</v>
      </c>
      <c r="E59" s="45" t="n">
        <v>0</v>
      </c>
      <c r="F59" s="45" t="n">
        <v>0</v>
      </c>
      <c r="G59" s="45" t="n">
        <v>0</v>
      </c>
      <c r="H59" s="45" t="n">
        <v>0</v>
      </c>
      <c r="I59" s="45" t="n">
        <v>0</v>
      </c>
      <c r="J59" s="46" t="n">
        <f aca="false">SUMPRODUCT(B59:I59,$B$11:$I$11)</f>
        <v>1</v>
      </c>
      <c r="K59" s="50" t="n">
        <f aca="false">J59+J58</f>
        <v>4</v>
      </c>
      <c r="L59" s="51"/>
      <c r="M59" s="51"/>
      <c r="N59" s="48"/>
      <c r="O59" s="49"/>
      <c r="P59" s="49"/>
      <c r="Q59" s="49"/>
      <c r="R59" s="49"/>
      <c r="S59" s="49"/>
      <c r="T59" s="49"/>
      <c r="U59" s="48"/>
      <c r="V59" s="48"/>
      <c r="W59" s="48"/>
      <c r="X59" s="48"/>
      <c r="Y59" s="48"/>
      <c r="Z59" s="48"/>
    </row>
    <row r="60" customFormat="false" ht="14.25" hidden="false" customHeight="true" outlineLevel="0" collapsed="false">
      <c r="A60" s="44" t="s">
        <v>84</v>
      </c>
      <c r="B60" s="45" t="n">
        <v>0</v>
      </c>
      <c r="C60" s="45" t="n">
        <v>0</v>
      </c>
      <c r="D60" s="45" t="n">
        <v>1</v>
      </c>
      <c r="E60" s="45" t="n">
        <v>0</v>
      </c>
      <c r="F60" s="45" t="n">
        <v>0</v>
      </c>
      <c r="G60" s="45" t="n">
        <v>0</v>
      </c>
      <c r="H60" s="45" t="n">
        <v>0</v>
      </c>
      <c r="I60" s="45" t="n">
        <v>0</v>
      </c>
      <c r="J60" s="46" t="n">
        <f aca="false">SUMPRODUCT(B60:I60,$B$11:$I$11)</f>
        <v>1</v>
      </c>
      <c r="K60" s="47"/>
      <c r="L60" s="50"/>
      <c r="M60" s="50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 customFormat="false" ht="14.25" hidden="false" customHeight="true" outlineLevel="0" collapsed="false">
      <c r="A61" s="44" t="s">
        <v>85</v>
      </c>
      <c r="B61" s="45" t="n">
        <v>1</v>
      </c>
      <c r="C61" s="45" t="n">
        <v>0</v>
      </c>
      <c r="D61" s="45" t="n">
        <v>0</v>
      </c>
      <c r="E61" s="45" t="n">
        <v>0</v>
      </c>
      <c r="F61" s="45" t="n">
        <v>0</v>
      </c>
      <c r="G61" s="45" t="n">
        <v>0</v>
      </c>
      <c r="H61" s="45" t="n">
        <v>0</v>
      </c>
      <c r="I61" s="45" t="n">
        <v>0</v>
      </c>
      <c r="J61" s="46" t="n">
        <f aca="false">SUMPRODUCT(B61:I61,$B$11:$I$11)</f>
        <v>0.5</v>
      </c>
      <c r="K61" s="50" t="n">
        <f aca="false">J61+J60</f>
        <v>1.5</v>
      </c>
      <c r="L61" s="50" t="n">
        <f aca="false">SUM(J58:J61)</f>
        <v>5.5</v>
      </c>
      <c r="M61" s="50" t="n">
        <f aca="false">SUM(C58:I61)</f>
        <v>5</v>
      </c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 customFormat="false" ht="14.25" hidden="false" customHeight="true" outlineLevel="0" collapsed="false">
      <c r="A62" s="44" t="s">
        <v>86</v>
      </c>
      <c r="B62" s="45" t="n">
        <v>0</v>
      </c>
      <c r="C62" s="45" t="n">
        <v>0</v>
      </c>
      <c r="D62" s="45" t="n">
        <v>3</v>
      </c>
      <c r="E62" s="45" t="n">
        <v>0</v>
      </c>
      <c r="F62" s="45" t="n">
        <v>0</v>
      </c>
      <c r="G62" s="45" t="n">
        <v>0</v>
      </c>
      <c r="H62" s="45" t="n">
        <v>0</v>
      </c>
      <c r="I62" s="45" t="n">
        <v>0</v>
      </c>
      <c r="J62" s="46" t="n">
        <f aca="false">SUMPRODUCT(B62:I62,$B$11:$I$11)</f>
        <v>3</v>
      </c>
      <c r="K62" s="47"/>
      <c r="L62" s="47"/>
      <c r="M62" s="47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 customFormat="false" ht="14.25" hidden="false" customHeight="true" outlineLevel="0" collapsed="false">
      <c r="A63" s="44" t="s">
        <v>87</v>
      </c>
      <c r="B63" s="45" t="n">
        <v>0</v>
      </c>
      <c r="C63" s="45" t="n">
        <v>0</v>
      </c>
      <c r="D63" s="45" t="n">
        <v>1</v>
      </c>
      <c r="E63" s="45" t="n">
        <v>0</v>
      </c>
      <c r="F63" s="45" t="n">
        <v>0</v>
      </c>
      <c r="G63" s="45" t="n">
        <v>0</v>
      </c>
      <c r="H63" s="45" t="n">
        <v>0</v>
      </c>
      <c r="I63" s="45" t="n">
        <v>0</v>
      </c>
      <c r="J63" s="46" t="n">
        <f aca="false">SUMPRODUCT(B63:I63,$B$11:$I$11)</f>
        <v>1</v>
      </c>
      <c r="K63" s="50" t="n">
        <f aca="false">J63+J62</f>
        <v>4</v>
      </c>
      <c r="L63" s="51"/>
      <c r="M63" s="51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 customFormat="false" ht="14.25" hidden="false" customHeight="true" outlineLevel="0" collapsed="false">
      <c r="A64" s="44" t="s">
        <v>88</v>
      </c>
      <c r="B64" s="45" t="n">
        <v>0</v>
      </c>
      <c r="C64" s="45" t="n">
        <v>0</v>
      </c>
      <c r="D64" s="45" t="n">
        <v>1</v>
      </c>
      <c r="E64" s="45" t="n">
        <v>0</v>
      </c>
      <c r="F64" s="45" t="n">
        <v>0</v>
      </c>
      <c r="G64" s="45" t="n">
        <v>0</v>
      </c>
      <c r="H64" s="45" t="n">
        <v>0</v>
      </c>
      <c r="I64" s="45" t="n">
        <v>0</v>
      </c>
      <c r="J64" s="46" t="n">
        <f aca="false">SUMPRODUCT(B64:I64,$B$11:$I$11)</f>
        <v>1</v>
      </c>
      <c r="K64" s="47"/>
      <c r="L64" s="50"/>
      <c r="M64" s="50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 customFormat="false" ht="14.25" hidden="false" customHeight="true" outlineLevel="0" collapsed="false">
      <c r="A65" s="44" t="s">
        <v>89</v>
      </c>
      <c r="B65" s="45" t="n">
        <v>0</v>
      </c>
      <c r="C65" s="45" t="n">
        <v>0</v>
      </c>
      <c r="D65" s="45" t="n">
        <v>0</v>
      </c>
      <c r="E65" s="45" t="n">
        <v>0</v>
      </c>
      <c r="F65" s="45" t="n">
        <v>0</v>
      </c>
      <c r="G65" s="45" t="n">
        <v>0</v>
      </c>
      <c r="H65" s="45" t="n">
        <v>0</v>
      </c>
      <c r="I65" s="45" t="n">
        <v>0</v>
      </c>
      <c r="J65" s="46" t="n">
        <f aca="false">SUMPRODUCT(B65:I65,$B$11:$I$11)</f>
        <v>0</v>
      </c>
      <c r="K65" s="50" t="n">
        <f aca="false">J65+J64</f>
        <v>1</v>
      </c>
      <c r="L65" s="50" t="n">
        <f aca="false">SUM(J62:J65)</f>
        <v>5</v>
      </c>
      <c r="M65" s="50" t="n">
        <f aca="false">SUM(C62:I65)</f>
        <v>5</v>
      </c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 customFormat="false" ht="14.25" hidden="false" customHeight="true" outlineLevel="0" collapsed="false">
      <c r="A66" s="44" t="s">
        <v>90</v>
      </c>
      <c r="B66" s="45" t="n">
        <v>0</v>
      </c>
      <c r="C66" s="45" t="n">
        <v>0</v>
      </c>
      <c r="D66" s="45" t="n">
        <v>0</v>
      </c>
      <c r="E66" s="45" t="n">
        <v>0</v>
      </c>
      <c r="F66" s="45" t="n">
        <v>0</v>
      </c>
      <c r="G66" s="45" t="n">
        <v>0</v>
      </c>
      <c r="H66" s="45" t="n">
        <v>0</v>
      </c>
      <c r="I66" s="45" t="n">
        <v>0</v>
      </c>
      <c r="J66" s="46" t="n">
        <f aca="false">SUMPRODUCT(B66:I66,$B$11:$I$11)</f>
        <v>0</v>
      </c>
      <c r="K66" s="47"/>
      <c r="L66" s="47"/>
      <c r="M66" s="47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 customFormat="false" ht="14.25" hidden="false" customHeight="true" outlineLevel="0" collapsed="false">
      <c r="A67" s="44" t="s">
        <v>91</v>
      </c>
      <c r="B67" s="45" t="n">
        <v>0</v>
      </c>
      <c r="C67" s="45" t="n">
        <v>0</v>
      </c>
      <c r="D67" s="45" t="n">
        <v>1</v>
      </c>
      <c r="E67" s="45" t="n">
        <v>0</v>
      </c>
      <c r="F67" s="45" t="n">
        <v>0</v>
      </c>
      <c r="G67" s="45" t="n">
        <v>0</v>
      </c>
      <c r="H67" s="45" t="n">
        <v>0</v>
      </c>
      <c r="I67" s="45" t="n">
        <v>0</v>
      </c>
      <c r="J67" s="46" t="n">
        <f aca="false">SUMPRODUCT(B67:I67,$B$11:$I$11)</f>
        <v>1</v>
      </c>
      <c r="K67" s="50" t="n">
        <f aca="false">J67+J66</f>
        <v>1</v>
      </c>
      <c r="L67" s="51"/>
      <c r="M67" s="53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 customFormat="false" ht="14.25" hidden="false" customHeight="true" outlineLevel="0" collapsed="false">
      <c r="A68" s="44" t="s">
        <v>92</v>
      </c>
      <c r="B68" s="45" t="n">
        <v>0</v>
      </c>
      <c r="C68" s="45" t="n">
        <v>0</v>
      </c>
      <c r="D68" s="45" t="n">
        <v>2</v>
      </c>
      <c r="E68" s="45" t="n">
        <v>0</v>
      </c>
      <c r="F68" s="45" t="n">
        <v>0</v>
      </c>
      <c r="G68" s="45" t="n">
        <v>0</v>
      </c>
      <c r="H68" s="45" t="n">
        <v>0</v>
      </c>
      <c r="I68" s="45" t="n">
        <v>0</v>
      </c>
      <c r="J68" s="46" t="n">
        <f aca="false">SUMPRODUCT(B68:I68,$B$11:$I$11)</f>
        <v>2</v>
      </c>
      <c r="K68" s="47"/>
      <c r="L68" s="50"/>
      <c r="M68" s="50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 customFormat="false" ht="14.25" hidden="false" customHeight="true" outlineLevel="0" collapsed="false">
      <c r="A69" s="44" t="s">
        <v>93</v>
      </c>
      <c r="B69" s="45" t="n">
        <v>0</v>
      </c>
      <c r="C69" s="45" t="n">
        <v>0</v>
      </c>
      <c r="D69" s="45" t="n">
        <v>3</v>
      </c>
      <c r="E69" s="45" t="n">
        <v>0</v>
      </c>
      <c r="F69" s="45" t="n">
        <v>0</v>
      </c>
      <c r="G69" s="45" t="n">
        <v>0</v>
      </c>
      <c r="H69" s="45" t="n">
        <v>0</v>
      </c>
      <c r="I69" s="45" t="n">
        <v>0</v>
      </c>
      <c r="J69" s="46" t="n">
        <f aca="false">SUMPRODUCT(B69:I69,$B$11:$I$11)</f>
        <v>3</v>
      </c>
      <c r="K69" s="52" t="n">
        <f aca="false">J69+J68</f>
        <v>5</v>
      </c>
      <c r="L69" s="52" t="n">
        <f aca="false">SUM(J66:J69)</f>
        <v>6</v>
      </c>
      <c r="M69" s="52" t="n">
        <f aca="false">SUM(C66:I69)</f>
        <v>6</v>
      </c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 customFormat="false" ht="14.25" hidden="false" customHeight="true" outlineLevel="0" collapsed="false">
      <c r="A70" s="54" t="s">
        <v>94</v>
      </c>
      <c r="B70" s="3" t="n">
        <f aca="false">SUM(B14:B69)</f>
        <v>10</v>
      </c>
      <c r="C70" s="3" t="n">
        <f aca="false">SUM(C14:C69)</f>
        <v>1</v>
      </c>
      <c r="D70" s="3" t="n">
        <f aca="false">SUM(D14:D69)</f>
        <v>133</v>
      </c>
      <c r="E70" s="3" t="n">
        <f aca="false">SUM(E14:E69)</f>
        <v>0</v>
      </c>
      <c r="F70" s="3" t="n">
        <f aca="false">SUM(F14:F69)</f>
        <v>0</v>
      </c>
      <c r="G70" s="3" t="n">
        <f aca="false">SUM(G14:G69)</f>
        <v>2</v>
      </c>
      <c r="H70" s="3" t="n">
        <f aca="false">SUM(H14:H69)</f>
        <v>1</v>
      </c>
      <c r="I70" s="3" t="n">
        <f aca="false">SUM(I14:I69)</f>
        <v>5</v>
      </c>
      <c r="J70" s="3" t="n">
        <f aca="false">SUM(J14:J69)</f>
        <v>151.5</v>
      </c>
      <c r="K70" s="3"/>
      <c r="L70" s="3"/>
      <c r="M70" s="3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4.25" hidden="false" customHeight="true" outlineLevel="0" collapsed="false"/>
    <row r="72" customFormat="false" ht="14.25" hidden="false" customHeight="true" outlineLevel="0" collapsed="false">
      <c r="B72" s="55"/>
      <c r="C72" s="55"/>
      <c r="D72" s="55"/>
      <c r="E72" s="55"/>
      <c r="F72" s="55"/>
      <c r="G72" s="55"/>
      <c r="H72" s="55"/>
      <c r="I72" s="55"/>
    </row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>
      <c r="B76" s="55"/>
      <c r="C76" s="55"/>
      <c r="D76" s="55"/>
      <c r="E76" s="55"/>
      <c r="F76" s="55"/>
      <c r="G76" s="55"/>
      <c r="H76" s="55"/>
      <c r="I76" s="55"/>
    </row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>
      <c r="B80" s="55"/>
      <c r="C80" s="55"/>
      <c r="D80" s="55"/>
      <c r="E80" s="55"/>
      <c r="F80" s="55"/>
      <c r="G80" s="55"/>
      <c r="H80" s="55"/>
      <c r="I80" s="55"/>
    </row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3">
    <mergeCell ref="A3:M3"/>
    <mergeCell ref="A4:M4"/>
    <mergeCell ref="K6:M6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14.48"/>
    <col collapsed="false" customWidth="true" hidden="false" outlineLevel="0" max="9" min="2" style="1" width="6.94"/>
    <col collapsed="false" customWidth="true" hidden="false" outlineLevel="0" max="13" min="10" style="1" width="7.5"/>
    <col collapsed="false" customWidth="true" hidden="false" outlineLevel="0" max="31" min="14" style="1" width="13.28"/>
    <col collapsed="false" customWidth="true" hidden="false" outlineLevel="0" max="257" min="32" style="1" width="15.97"/>
  </cols>
  <sheetData>
    <row r="1" customFormat="false" ht="14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14.2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9.35" hidden="false" customHeight="true" outlineLevel="0" collapsed="false">
      <c r="A3" s="17" t="s">
        <v>0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2"/>
      <c r="O3" s="2"/>
      <c r="P3" s="2"/>
      <c r="Q3" s="2"/>
      <c r="R3" s="2"/>
    </row>
    <row r="4" customFormat="false" ht="17" hidden="false" customHeight="true" outlineLevel="0" collapsed="false">
      <c r="A4" s="18" t="s">
        <v>12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2"/>
      <c r="O4" s="2"/>
      <c r="P4" s="2"/>
      <c r="Q4" s="2"/>
      <c r="R4" s="2"/>
    </row>
    <row r="5" customFormat="false" ht="14.25" hidden="false" customHeight="true" outlineLevel="0" collapsed="false">
      <c r="A5" s="19" t="s">
        <v>6</v>
      </c>
      <c r="B5" s="20"/>
      <c r="C5" s="21"/>
      <c r="D5" s="22"/>
      <c r="E5" s="22"/>
      <c r="F5" s="20"/>
      <c r="G5" s="23"/>
      <c r="H5" s="23"/>
      <c r="I5" s="21"/>
      <c r="J5" s="22" t="s">
        <v>3</v>
      </c>
      <c r="K5" s="20" t="n">
        <v>0</v>
      </c>
      <c r="L5" s="24"/>
      <c r="M5" s="25"/>
      <c r="N5" s="2"/>
      <c r="O5" s="2"/>
      <c r="P5" s="2"/>
      <c r="Q5" s="2"/>
      <c r="R5" s="2"/>
    </row>
    <row r="6" customFormat="false" ht="20" hidden="false" customHeight="false" outlineLevel="0" collapsed="false">
      <c r="A6" s="26" t="n">
        <f aca="false">'Deckbl.'!I11</f>
        <v>45036</v>
      </c>
      <c r="B6" s="3"/>
      <c r="C6" s="2"/>
      <c r="D6" s="2"/>
      <c r="E6" s="3"/>
      <c r="F6" s="3"/>
      <c r="G6" s="3"/>
      <c r="H6" s="3"/>
      <c r="I6" s="2"/>
      <c r="J6" s="7" t="s">
        <v>9</v>
      </c>
      <c r="K6" s="27" t="str">
        <f aca="false">'Deckbl.'!I12</f>
        <v>morgens leichter Regen, dann Sonne, 5-17°</v>
      </c>
      <c r="L6" s="27"/>
      <c r="M6" s="27"/>
      <c r="N6" s="2"/>
      <c r="O6" s="2"/>
      <c r="P6" s="2"/>
      <c r="Q6" s="2"/>
      <c r="R6" s="2"/>
    </row>
    <row r="7" customFormat="false" ht="14.25" hidden="false" customHeight="true" outlineLevel="0" collapsed="false">
      <c r="A7" s="28"/>
      <c r="B7" s="7" t="s">
        <v>13</v>
      </c>
      <c r="C7" s="29" t="str">
        <f aca="false">'Deckbl.'!C8</f>
        <v>Sandleiten / Schulstraße / Parkstraße (Pregarten)</v>
      </c>
      <c r="D7" s="30"/>
      <c r="E7" s="31"/>
      <c r="F7" s="31"/>
      <c r="G7" s="31"/>
      <c r="H7" s="31"/>
      <c r="I7" s="32"/>
      <c r="J7" s="29"/>
      <c r="K7" s="31"/>
      <c r="L7" s="31"/>
      <c r="M7" s="33"/>
      <c r="N7" s="2"/>
      <c r="O7" s="2"/>
      <c r="P7" s="2"/>
      <c r="Q7" s="2"/>
      <c r="R7" s="2"/>
    </row>
    <row r="8" customFormat="false" ht="14.25" hidden="false" customHeight="true" outlineLevel="0" collapsed="false">
      <c r="A8" s="28"/>
      <c r="B8" s="7" t="s">
        <v>14</v>
      </c>
      <c r="C8" s="30"/>
      <c r="D8" s="30"/>
      <c r="E8" s="31"/>
      <c r="F8" s="31"/>
      <c r="G8" s="31"/>
      <c r="H8" s="31"/>
      <c r="I8" s="32" t="s">
        <v>7</v>
      </c>
      <c r="J8" s="29" t="s">
        <v>8</v>
      </c>
      <c r="K8" s="34"/>
      <c r="L8" s="31"/>
      <c r="M8" s="33"/>
      <c r="N8" s="2"/>
      <c r="O8" s="2"/>
      <c r="P8" s="2"/>
      <c r="Q8" s="2"/>
      <c r="R8" s="2"/>
    </row>
    <row r="9" customFormat="false" ht="14.25" hidden="false" customHeight="true" outlineLevel="0" collapsed="false">
      <c r="A9" s="28"/>
      <c r="B9" s="7" t="s">
        <v>15</v>
      </c>
      <c r="C9" s="35" t="s">
        <v>96</v>
      </c>
      <c r="D9" s="4"/>
      <c r="E9" s="3"/>
      <c r="F9" s="3"/>
      <c r="G9" s="3"/>
      <c r="H9" s="3"/>
      <c r="I9" s="7" t="s">
        <v>17</v>
      </c>
      <c r="J9" s="29" t="str">
        <f aca="false">'Deckbl.'!C11</f>
        <v>6-20</v>
      </c>
      <c r="K9" s="31"/>
      <c r="L9" s="31"/>
      <c r="M9" s="33"/>
      <c r="N9" s="2"/>
      <c r="O9" s="2"/>
      <c r="P9" s="2"/>
      <c r="Q9" s="2"/>
      <c r="R9" s="2"/>
    </row>
    <row r="10" customFormat="false" ht="14.25" hidden="false" customHeight="true" outlineLevel="0" collapsed="false">
      <c r="A10" s="28"/>
      <c r="B10" s="32" t="s">
        <v>18</v>
      </c>
      <c r="C10" s="36"/>
      <c r="D10" s="30"/>
      <c r="E10" s="31"/>
      <c r="F10" s="31"/>
      <c r="G10" s="31"/>
      <c r="H10" s="31"/>
      <c r="I10" s="32" t="s">
        <v>19</v>
      </c>
      <c r="J10" s="29"/>
      <c r="K10" s="31"/>
      <c r="L10" s="29"/>
      <c r="M10" s="33"/>
      <c r="N10" s="2"/>
      <c r="O10" s="2"/>
      <c r="P10" s="2"/>
      <c r="Q10" s="2"/>
      <c r="R10" s="2"/>
    </row>
    <row r="11" customFormat="false" ht="14.25" hidden="false" customHeight="true" outlineLevel="0" collapsed="false">
      <c r="A11" s="37" t="s">
        <v>20</v>
      </c>
      <c r="B11" s="38" t="n">
        <v>0.5</v>
      </c>
      <c r="C11" s="38" t="n">
        <v>1</v>
      </c>
      <c r="D11" s="38" t="n">
        <f aca="false">'Faktoren PKW-E'!B16</f>
        <v>1</v>
      </c>
      <c r="E11" s="38" t="n">
        <v>1.5</v>
      </c>
      <c r="F11" s="38" t="n">
        <v>1.5</v>
      </c>
      <c r="G11" s="38" t="n">
        <v>1.5</v>
      </c>
      <c r="H11" s="38" t="n">
        <v>2</v>
      </c>
      <c r="I11" s="38" t="n">
        <v>1.5</v>
      </c>
      <c r="J11" s="39"/>
      <c r="K11" s="39"/>
      <c r="L11" s="39"/>
      <c r="M11" s="39"/>
      <c r="N11" s="2"/>
      <c r="O11" s="2"/>
      <c r="P11" s="2"/>
      <c r="Q11" s="2"/>
      <c r="R11" s="2"/>
    </row>
    <row r="12" customFormat="false" ht="14.25" hidden="false" customHeight="true" outlineLevel="0" collapsed="false">
      <c r="A12" s="40"/>
      <c r="B12" s="19"/>
      <c r="C12" s="41" t="s">
        <v>21</v>
      </c>
      <c r="D12" s="19" t="s">
        <v>22</v>
      </c>
      <c r="E12" s="41" t="s">
        <v>23</v>
      </c>
      <c r="F12" s="41" t="s">
        <v>24</v>
      </c>
      <c r="G12" s="41"/>
      <c r="H12" s="41" t="s">
        <v>25</v>
      </c>
      <c r="I12" s="41" t="s">
        <v>26</v>
      </c>
      <c r="J12" s="42" t="s">
        <v>27</v>
      </c>
      <c r="K12" s="42" t="s">
        <v>27</v>
      </c>
      <c r="L12" s="42" t="s">
        <v>27</v>
      </c>
      <c r="M12" s="42" t="s">
        <v>28</v>
      </c>
      <c r="N12" s="2"/>
      <c r="O12" s="2"/>
      <c r="P12" s="2"/>
      <c r="Q12" s="2"/>
      <c r="R12" s="2"/>
    </row>
    <row r="13" customFormat="false" ht="14.25" hidden="false" customHeight="true" outlineLevel="0" collapsed="false">
      <c r="A13" s="43" t="s">
        <v>29</v>
      </c>
      <c r="B13" s="41" t="s">
        <v>30</v>
      </c>
      <c r="C13" s="41" t="s">
        <v>28</v>
      </c>
      <c r="D13" s="41" t="s">
        <v>31</v>
      </c>
      <c r="E13" s="41" t="s">
        <v>32</v>
      </c>
      <c r="F13" s="41" t="s">
        <v>32</v>
      </c>
      <c r="G13" s="41" t="s">
        <v>33</v>
      </c>
      <c r="H13" s="41" t="s">
        <v>34</v>
      </c>
      <c r="I13" s="41" t="s">
        <v>28</v>
      </c>
      <c r="J13" s="42" t="s">
        <v>35</v>
      </c>
      <c r="K13" s="42" t="s">
        <v>36</v>
      </c>
      <c r="L13" s="42" t="s">
        <v>37</v>
      </c>
      <c r="M13" s="42" t="s">
        <v>37</v>
      </c>
      <c r="N13" s="2"/>
      <c r="O13" s="2"/>
      <c r="P13" s="2"/>
      <c r="Q13" s="2"/>
      <c r="R13" s="2"/>
    </row>
    <row r="14" customFormat="false" ht="14.25" hidden="false" customHeight="true" outlineLevel="0" collapsed="false">
      <c r="A14" s="44" t="s">
        <v>38</v>
      </c>
      <c r="B14" s="45" t="n">
        <v>0</v>
      </c>
      <c r="C14" s="45" t="n">
        <v>0</v>
      </c>
      <c r="D14" s="45" t="n">
        <v>0</v>
      </c>
      <c r="E14" s="45" t="n">
        <v>0</v>
      </c>
      <c r="F14" s="45" t="n">
        <v>0</v>
      </c>
      <c r="G14" s="45" t="n">
        <v>0</v>
      </c>
      <c r="H14" s="45" t="n">
        <v>0</v>
      </c>
      <c r="I14" s="45" t="n">
        <v>0</v>
      </c>
      <c r="J14" s="46" t="n">
        <f aca="false">SUMPRODUCT(B14:I14,$B$11:$I$11)</f>
        <v>0</v>
      </c>
      <c r="K14" s="47"/>
      <c r="L14" s="47"/>
      <c r="M14" s="47"/>
      <c r="N14" s="48"/>
      <c r="O14" s="48"/>
      <c r="P14" s="48"/>
      <c r="Q14" s="48"/>
      <c r="R14" s="48"/>
    </row>
    <row r="15" customFormat="false" ht="14.25" hidden="false" customHeight="true" outlineLevel="0" collapsed="false">
      <c r="A15" s="44" t="s">
        <v>39</v>
      </c>
      <c r="B15" s="45" t="n">
        <v>0</v>
      </c>
      <c r="C15" s="45" t="n">
        <v>0</v>
      </c>
      <c r="D15" s="45" t="n">
        <v>2</v>
      </c>
      <c r="E15" s="45" t="n">
        <v>0</v>
      </c>
      <c r="F15" s="45" t="n">
        <v>0</v>
      </c>
      <c r="G15" s="45" t="n">
        <v>0</v>
      </c>
      <c r="H15" s="45" t="n">
        <v>0</v>
      </c>
      <c r="I15" s="45" t="n">
        <v>0</v>
      </c>
      <c r="J15" s="46" t="n">
        <f aca="false">SUMPRODUCT(B15:I15,$B$11:$I$11)</f>
        <v>2</v>
      </c>
      <c r="K15" s="50" t="n">
        <f aca="false">J15+J14</f>
        <v>2</v>
      </c>
      <c r="L15" s="51"/>
      <c r="M15" s="51"/>
      <c r="N15" s="48"/>
      <c r="O15" s="48"/>
      <c r="P15" s="48"/>
      <c r="Q15" s="48"/>
      <c r="R15" s="48"/>
    </row>
    <row r="16" customFormat="false" ht="14.25" hidden="false" customHeight="true" outlineLevel="0" collapsed="false">
      <c r="A16" s="44" t="s">
        <v>40</v>
      </c>
      <c r="B16" s="45" t="n">
        <v>0</v>
      </c>
      <c r="C16" s="45" t="n">
        <v>0</v>
      </c>
      <c r="D16" s="45" t="n">
        <v>1</v>
      </c>
      <c r="E16" s="45" t="n">
        <v>0</v>
      </c>
      <c r="F16" s="45" t="n">
        <v>0</v>
      </c>
      <c r="G16" s="45" t="n">
        <v>0</v>
      </c>
      <c r="H16" s="45" t="n">
        <v>0</v>
      </c>
      <c r="I16" s="45" t="n">
        <v>0</v>
      </c>
      <c r="J16" s="46" t="n">
        <f aca="false">SUMPRODUCT(B16:I16,$B$11:$I$11)</f>
        <v>1</v>
      </c>
      <c r="K16" s="47"/>
      <c r="L16" s="50"/>
      <c r="M16" s="50"/>
      <c r="N16" s="48"/>
      <c r="O16" s="48"/>
      <c r="P16" s="48"/>
      <c r="Q16" s="48"/>
      <c r="R16" s="48"/>
    </row>
    <row r="17" customFormat="false" ht="14.25" hidden="false" customHeight="true" outlineLevel="0" collapsed="false">
      <c r="A17" s="44" t="s">
        <v>41</v>
      </c>
      <c r="B17" s="45" t="n">
        <v>0</v>
      </c>
      <c r="C17" s="45" t="n">
        <v>0</v>
      </c>
      <c r="D17" s="45" t="n">
        <v>3</v>
      </c>
      <c r="E17" s="45" t="n">
        <v>0</v>
      </c>
      <c r="F17" s="45" t="n">
        <v>0</v>
      </c>
      <c r="G17" s="45" t="n">
        <v>0</v>
      </c>
      <c r="H17" s="45" t="n">
        <v>0</v>
      </c>
      <c r="I17" s="45" t="n">
        <v>0</v>
      </c>
      <c r="J17" s="46" t="n">
        <f aca="false">SUMPRODUCT(B17:I17,$B$11:$I$11)</f>
        <v>3</v>
      </c>
      <c r="K17" s="50" t="n">
        <f aca="false">J17+J16</f>
        <v>4</v>
      </c>
      <c r="L17" s="50" t="n">
        <f aca="false">SUM(J14:J17)</f>
        <v>6</v>
      </c>
      <c r="M17" s="50" t="n">
        <f aca="false">SUM(C14:I17)</f>
        <v>6</v>
      </c>
      <c r="N17" s="48"/>
      <c r="O17" s="48"/>
      <c r="P17" s="48"/>
      <c r="Q17" s="48"/>
      <c r="R17" s="48"/>
    </row>
    <row r="18" customFormat="false" ht="14.25" hidden="false" customHeight="true" outlineLevel="0" collapsed="false">
      <c r="A18" s="44" t="s">
        <v>42</v>
      </c>
      <c r="B18" s="45" t="n">
        <v>0</v>
      </c>
      <c r="C18" s="45" t="n">
        <v>0</v>
      </c>
      <c r="D18" s="45" t="n">
        <v>3</v>
      </c>
      <c r="E18" s="45" t="n">
        <v>0</v>
      </c>
      <c r="F18" s="45" t="n">
        <v>0</v>
      </c>
      <c r="G18" s="45" t="n">
        <v>0</v>
      </c>
      <c r="H18" s="45" t="n">
        <v>0</v>
      </c>
      <c r="I18" s="45" t="n">
        <v>0</v>
      </c>
      <c r="J18" s="46" t="n">
        <f aca="false">SUMPRODUCT(B18:I18,$B$11:$I$11)</f>
        <v>3</v>
      </c>
      <c r="K18" s="47"/>
      <c r="L18" s="47"/>
      <c r="M18" s="47"/>
      <c r="N18" s="48"/>
      <c r="O18" s="48"/>
      <c r="P18" s="48"/>
      <c r="Q18" s="48"/>
      <c r="R18" s="48"/>
    </row>
    <row r="19" customFormat="false" ht="14.25" hidden="false" customHeight="true" outlineLevel="0" collapsed="false">
      <c r="A19" s="44" t="s">
        <v>43</v>
      </c>
      <c r="B19" s="45" t="n">
        <v>0</v>
      </c>
      <c r="C19" s="45" t="n">
        <v>0</v>
      </c>
      <c r="D19" s="45" t="n">
        <v>2</v>
      </c>
      <c r="E19" s="45" t="n">
        <v>0</v>
      </c>
      <c r="F19" s="45" t="n">
        <v>0</v>
      </c>
      <c r="G19" s="45" t="n">
        <v>0</v>
      </c>
      <c r="H19" s="45" t="n">
        <v>0</v>
      </c>
      <c r="I19" s="45" t="n">
        <v>0</v>
      </c>
      <c r="J19" s="46" t="n">
        <f aca="false">SUMPRODUCT(B19:I19,$B$11:$I$11)</f>
        <v>2</v>
      </c>
      <c r="K19" s="50" t="n">
        <f aca="false">J19+J18</f>
        <v>5</v>
      </c>
      <c r="L19" s="51"/>
      <c r="M19" s="51"/>
      <c r="N19" s="48"/>
      <c r="O19" s="48"/>
      <c r="P19" s="48"/>
      <c r="Q19" s="48"/>
      <c r="R19" s="48"/>
    </row>
    <row r="20" customFormat="false" ht="14.25" hidden="false" customHeight="true" outlineLevel="0" collapsed="false">
      <c r="A20" s="44" t="s">
        <v>44</v>
      </c>
      <c r="B20" s="45" t="n">
        <v>0</v>
      </c>
      <c r="C20" s="45" t="n">
        <v>0</v>
      </c>
      <c r="D20" s="45" t="n">
        <v>3</v>
      </c>
      <c r="E20" s="45" t="n">
        <v>0</v>
      </c>
      <c r="F20" s="45" t="n">
        <v>0</v>
      </c>
      <c r="G20" s="45" t="n">
        <v>0</v>
      </c>
      <c r="H20" s="45" t="n">
        <v>0</v>
      </c>
      <c r="I20" s="45" t="n">
        <v>0</v>
      </c>
      <c r="J20" s="46" t="n">
        <f aca="false">SUMPRODUCT(B20:I20,$B$11:$I$11)</f>
        <v>3</v>
      </c>
      <c r="K20" s="47"/>
      <c r="L20" s="50"/>
      <c r="M20" s="50"/>
      <c r="N20" s="48"/>
      <c r="O20" s="48"/>
      <c r="P20" s="48"/>
      <c r="Q20" s="48"/>
      <c r="R20" s="48"/>
    </row>
    <row r="21" customFormat="false" ht="14.25" hidden="false" customHeight="true" outlineLevel="0" collapsed="false">
      <c r="A21" s="44" t="s">
        <v>45</v>
      </c>
      <c r="B21" s="45" t="n">
        <v>0</v>
      </c>
      <c r="C21" s="45" t="n">
        <v>0</v>
      </c>
      <c r="D21" s="45" t="n">
        <v>11</v>
      </c>
      <c r="E21" s="45" t="n">
        <v>0</v>
      </c>
      <c r="F21" s="45" t="n">
        <v>0</v>
      </c>
      <c r="G21" s="45" t="n">
        <v>0</v>
      </c>
      <c r="H21" s="45" t="n">
        <v>0</v>
      </c>
      <c r="I21" s="45" t="n">
        <v>0</v>
      </c>
      <c r="J21" s="46" t="n">
        <f aca="false">SUMPRODUCT(B21:I21,$B$11:$I$11)</f>
        <v>11</v>
      </c>
      <c r="K21" s="50" t="n">
        <f aca="false">J21+J20</f>
        <v>14</v>
      </c>
      <c r="L21" s="50" t="n">
        <f aca="false">SUM(J18:J21)</f>
        <v>19</v>
      </c>
      <c r="M21" s="50" t="n">
        <f aca="false">SUM(C18:I21)</f>
        <v>19</v>
      </c>
      <c r="N21" s="48"/>
      <c r="O21" s="48"/>
      <c r="P21" s="48"/>
      <c r="Q21" s="48"/>
      <c r="R21" s="48"/>
    </row>
    <row r="22" customFormat="false" ht="14.25" hidden="false" customHeight="true" outlineLevel="0" collapsed="false">
      <c r="A22" s="44" t="s">
        <v>46</v>
      </c>
      <c r="B22" s="45" t="n">
        <v>0</v>
      </c>
      <c r="C22" s="45" t="n">
        <v>0</v>
      </c>
      <c r="D22" s="45" t="n">
        <v>2</v>
      </c>
      <c r="E22" s="45" t="n">
        <v>0</v>
      </c>
      <c r="F22" s="45" t="n">
        <v>0</v>
      </c>
      <c r="G22" s="45" t="n">
        <v>0</v>
      </c>
      <c r="H22" s="45" t="n">
        <v>0</v>
      </c>
      <c r="I22" s="45" t="n">
        <v>0</v>
      </c>
      <c r="J22" s="46" t="n">
        <f aca="false">SUMPRODUCT(B22:I22,$B$11:$I$11)</f>
        <v>2</v>
      </c>
      <c r="K22" s="47"/>
      <c r="L22" s="47"/>
      <c r="M22" s="47"/>
      <c r="N22" s="48"/>
      <c r="O22" s="48"/>
      <c r="P22" s="48"/>
      <c r="Q22" s="48"/>
      <c r="R22" s="48"/>
    </row>
    <row r="23" customFormat="false" ht="14.25" hidden="false" customHeight="true" outlineLevel="0" collapsed="false">
      <c r="A23" s="44" t="s">
        <v>47</v>
      </c>
      <c r="B23" s="45" t="n">
        <v>0</v>
      </c>
      <c r="C23" s="45" t="n">
        <v>0</v>
      </c>
      <c r="D23" s="45" t="n">
        <v>1</v>
      </c>
      <c r="E23" s="45" t="n">
        <v>0</v>
      </c>
      <c r="F23" s="45" t="n">
        <v>0</v>
      </c>
      <c r="G23" s="45" t="n">
        <v>0</v>
      </c>
      <c r="H23" s="45" t="n">
        <v>0</v>
      </c>
      <c r="I23" s="45" t="n">
        <v>1</v>
      </c>
      <c r="J23" s="46" t="n">
        <f aca="false">SUMPRODUCT(B23:I23,$B$11:$I$11)</f>
        <v>2.5</v>
      </c>
      <c r="K23" s="50" t="n">
        <f aca="false">J23+J22</f>
        <v>4.5</v>
      </c>
      <c r="L23" s="51"/>
      <c r="M23" s="51"/>
      <c r="N23" s="48"/>
      <c r="O23" s="48"/>
      <c r="P23" s="48"/>
      <c r="Q23" s="48"/>
      <c r="R23" s="48"/>
    </row>
    <row r="24" customFormat="false" ht="14.25" hidden="false" customHeight="true" outlineLevel="0" collapsed="false">
      <c r="A24" s="44" t="s">
        <v>48</v>
      </c>
      <c r="B24" s="45" t="n">
        <v>0</v>
      </c>
      <c r="C24" s="45" t="n">
        <v>0</v>
      </c>
      <c r="D24" s="45" t="n">
        <v>2</v>
      </c>
      <c r="E24" s="45" t="n">
        <v>0</v>
      </c>
      <c r="F24" s="45" t="n">
        <v>0</v>
      </c>
      <c r="G24" s="45" t="n">
        <v>0</v>
      </c>
      <c r="H24" s="45" t="n">
        <v>0</v>
      </c>
      <c r="I24" s="45" t="n">
        <v>0</v>
      </c>
      <c r="J24" s="46" t="n">
        <f aca="false">SUMPRODUCT(B24:I24,$B$11:$I$11)</f>
        <v>2</v>
      </c>
      <c r="K24" s="47"/>
      <c r="L24" s="50"/>
      <c r="M24" s="50"/>
      <c r="N24" s="48"/>
      <c r="O24" s="48"/>
      <c r="P24" s="48"/>
      <c r="Q24" s="48"/>
      <c r="R24" s="48"/>
    </row>
    <row r="25" customFormat="false" ht="14.25" hidden="false" customHeight="true" outlineLevel="0" collapsed="false">
      <c r="A25" s="44" t="s">
        <v>49</v>
      </c>
      <c r="B25" s="45" t="n">
        <v>0</v>
      </c>
      <c r="C25" s="45" t="n">
        <v>0</v>
      </c>
      <c r="D25" s="45" t="n">
        <v>1</v>
      </c>
      <c r="E25" s="45" t="n">
        <v>0</v>
      </c>
      <c r="F25" s="45" t="n">
        <v>0</v>
      </c>
      <c r="G25" s="45" t="n">
        <v>0</v>
      </c>
      <c r="H25" s="45" t="n">
        <v>0</v>
      </c>
      <c r="I25" s="45" t="n">
        <v>1</v>
      </c>
      <c r="J25" s="46" t="n">
        <f aca="false">SUMPRODUCT(B25:I25,$B$11:$I$11)</f>
        <v>2.5</v>
      </c>
      <c r="K25" s="50" t="n">
        <f aca="false">J25+J24</f>
        <v>4.5</v>
      </c>
      <c r="L25" s="50" t="n">
        <f aca="false">SUM(J22:J25)</f>
        <v>9</v>
      </c>
      <c r="M25" s="50" t="n">
        <f aca="false">SUM(C22:I25)</f>
        <v>8</v>
      </c>
      <c r="N25" s="48"/>
      <c r="O25" s="48"/>
      <c r="P25" s="48"/>
      <c r="Q25" s="48"/>
      <c r="R25" s="48"/>
    </row>
    <row r="26" customFormat="false" ht="14.25" hidden="false" customHeight="true" outlineLevel="0" collapsed="false">
      <c r="A26" s="44" t="s">
        <v>50</v>
      </c>
      <c r="B26" s="45" t="n">
        <v>0</v>
      </c>
      <c r="C26" s="45" t="n">
        <v>0</v>
      </c>
      <c r="D26" s="45" t="n">
        <v>0</v>
      </c>
      <c r="E26" s="45" t="n">
        <v>0</v>
      </c>
      <c r="F26" s="45" t="n">
        <v>0</v>
      </c>
      <c r="G26" s="45" t="n">
        <v>0</v>
      </c>
      <c r="H26" s="45" t="n">
        <v>0</v>
      </c>
      <c r="I26" s="45" t="n">
        <v>0</v>
      </c>
      <c r="J26" s="46" t="n">
        <f aca="false">SUMPRODUCT(B26:I26,$B$11:$I$11)</f>
        <v>0</v>
      </c>
      <c r="K26" s="47"/>
      <c r="L26" s="47"/>
      <c r="M26" s="47"/>
      <c r="N26" s="48"/>
      <c r="O26" s="48"/>
      <c r="P26" s="48"/>
      <c r="Q26" s="48"/>
      <c r="R26" s="48"/>
    </row>
    <row r="27" customFormat="false" ht="14.25" hidden="false" customHeight="true" outlineLevel="0" collapsed="false">
      <c r="A27" s="44" t="s">
        <v>51</v>
      </c>
      <c r="B27" s="45" t="n">
        <v>0</v>
      </c>
      <c r="C27" s="45" t="n">
        <v>0</v>
      </c>
      <c r="D27" s="45" t="n">
        <v>0</v>
      </c>
      <c r="E27" s="45" t="n">
        <v>0</v>
      </c>
      <c r="F27" s="45" t="n">
        <v>0</v>
      </c>
      <c r="G27" s="45" t="n">
        <v>0</v>
      </c>
      <c r="H27" s="45" t="n">
        <v>0</v>
      </c>
      <c r="I27" s="45" t="n">
        <v>0</v>
      </c>
      <c r="J27" s="46" t="n">
        <f aca="false">SUMPRODUCT(B27:I27,$B$11:$I$11)</f>
        <v>0</v>
      </c>
      <c r="K27" s="50" t="n">
        <f aca="false">J27+J26</f>
        <v>0</v>
      </c>
      <c r="L27" s="51"/>
      <c r="M27" s="51"/>
      <c r="N27" s="48"/>
      <c r="O27" s="48"/>
      <c r="P27" s="48"/>
      <c r="Q27" s="48"/>
      <c r="R27" s="48"/>
    </row>
    <row r="28" customFormat="false" ht="14.25" hidden="false" customHeight="true" outlineLevel="0" collapsed="false">
      <c r="A28" s="44" t="s">
        <v>52</v>
      </c>
      <c r="B28" s="45" t="n">
        <v>0</v>
      </c>
      <c r="C28" s="45" t="n">
        <v>0</v>
      </c>
      <c r="D28" s="45" t="n">
        <v>1</v>
      </c>
      <c r="E28" s="45" t="n">
        <v>0</v>
      </c>
      <c r="F28" s="45" t="n">
        <v>0</v>
      </c>
      <c r="G28" s="45" t="n">
        <v>0</v>
      </c>
      <c r="H28" s="45" t="n">
        <v>0</v>
      </c>
      <c r="I28" s="45" t="n">
        <v>0</v>
      </c>
      <c r="J28" s="46" t="n">
        <f aca="false">SUMPRODUCT(B28:I28,$B$11:$I$11)</f>
        <v>1</v>
      </c>
      <c r="K28" s="47"/>
      <c r="L28" s="50"/>
      <c r="M28" s="50"/>
      <c r="N28" s="48"/>
      <c r="O28" s="48"/>
      <c r="P28" s="48"/>
      <c r="Q28" s="48"/>
      <c r="R28" s="48"/>
    </row>
    <row r="29" customFormat="false" ht="14.25" hidden="false" customHeight="true" outlineLevel="0" collapsed="false">
      <c r="A29" s="44" t="s">
        <v>53</v>
      </c>
      <c r="B29" s="45" t="n">
        <v>0</v>
      </c>
      <c r="C29" s="45" t="n">
        <v>0</v>
      </c>
      <c r="D29" s="45" t="n">
        <v>1</v>
      </c>
      <c r="E29" s="45" t="n">
        <v>0</v>
      </c>
      <c r="F29" s="45" t="n">
        <v>0</v>
      </c>
      <c r="G29" s="45" t="n">
        <v>0</v>
      </c>
      <c r="H29" s="45" t="n">
        <v>0</v>
      </c>
      <c r="I29" s="45" t="n">
        <v>0</v>
      </c>
      <c r="J29" s="46" t="n">
        <f aca="false">SUMPRODUCT(B29:I29,$B$11:$I$11)</f>
        <v>1</v>
      </c>
      <c r="K29" s="50" t="n">
        <f aca="false">J29+J28</f>
        <v>2</v>
      </c>
      <c r="L29" s="50" t="n">
        <f aca="false">SUM(J26:J29)</f>
        <v>2</v>
      </c>
      <c r="M29" s="50" t="n">
        <f aca="false">SUM(C26:I29)</f>
        <v>2</v>
      </c>
      <c r="N29" s="48"/>
      <c r="O29" s="48"/>
      <c r="P29" s="48"/>
      <c r="Q29" s="48"/>
      <c r="R29" s="48"/>
    </row>
    <row r="30" customFormat="false" ht="14.25" hidden="false" customHeight="true" outlineLevel="0" collapsed="false">
      <c r="A30" s="44" t="s">
        <v>54</v>
      </c>
      <c r="B30" s="45" t="n">
        <v>0</v>
      </c>
      <c r="C30" s="45" t="n">
        <v>0</v>
      </c>
      <c r="D30" s="45" t="n">
        <v>1</v>
      </c>
      <c r="E30" s="45" t="n">
        <v>0</v>
      </c>
      <c r="F30" s="45" t="n">
        <v>0</v>
      </c>
      <c r="G30" s="45" t="n">
        <v>0</v>
      </c>
      <c r="H30" s="45" t="n">
        <v>0</v>
      </c>
      <c r="I30" s="45" t="n">
        <v>0</v>
      </c>
      <c r="J30" s="46" t="n">
        <f aca="false">SUMPRODUCT(B30:I30,$B$11:$I$11)</f>
        <v>1</v>
      </c>
      <c r="K30" s="47"/>
      <c r="L30" s="47"/>
      <c r="M30" s="47"/>
      <c r="N30" s="48"/>
      <c r="O30" s="48"/>
      <c r="P30" s="48"/>
      <c r="Q30" s="48"/>
      <c r="R30" s="48"/>
    </row>
    <row r="31" customFormat="false" ht="14.25" hidden="false" customHeight="true" outlineLevel="0" collapsed="false">
      <c r="A31" s="44" t="s">
        <v>55</v>
      </c>
      <c r="B31" s="45" t="n">
        <v>1</v>
      </c>
      <c r="C31" s="45" t="n">
        <v>0</v>
      </c>
      <c r="D31" s="45" t="n">
        <v>0</v>
      </c>
      <c r="E31" s="45" t="n">
        <v>0</v>
      </c>
      <c r="F31" s="45" t="n">
        <v>0</v>
      </c>
      <c r="G31" s="45" t="n">
        <v>0</v>
      </c>
      <c r="H31" s="45" t="n">
        <v>0</v>
      </c>
      <c r="I31" s="45" t="n">
        <v>0</v>
      </c>
      <c r="J31" s="46" t="n">
        <f aca="false">SUMPRODUCT(B31:I31,$B$11:$I$11)</f>
        <v>0.5</v>
      </c>
      <c r="K31" s="50" t="n">
        <f aca="false">J31+J30</f>
        <v>1.5</v>
      </c>
      <c r="L31" s="51"/>
      <c r="M31" s="51"/>
      <c r="N31" s="48"/>
      <c r="O31" s="48"/>
      <c r="P31" s="48"/>
      <c r="Q31" s="48"/>
      <c r="R31" s="48"/>
    </row>
    <row r="32" customFormat="false" ht="14.25" hidden="false" customHeight="true" outlineLevel="0" collapsed="false">
      <c r="A32" s="44" t="s">
        <v>56</v>
      </c>
      <c r="B32" s="45" t="n">
        <v>0</v>
      </c>
      <c r="C32" s="45" t="n">
        <v>0</v>
      </c>
      <c r="D32" s="45" t="n">
        <v>6</v>
      </c>
      <c r="E32" s="45" t="n">
        <v>0</v>
      </c>
      <c r="F32" s="45" t="n">
        <v>0</v>
      </c>
      <c r="G32" s="45" t="n">
        <v>0</v>
      </c>
      <c r="H32" s="45" t="n">
        <v>0</v>
      </c>
      <c r="I32" s="45" t="n">
        <v>0</v>
      </c>
      <c r="J32" s="46" t="n">
        <f aca="false">SUMPRODUCT(B32:I32,$B$11:$I$11)</f>
        <v>6</v>
      </c>
      <c r="K32" s="47"/>
      <c r="L32" s="50"/>
      <c r="M32" s="50"/>
      <c r="N32" s="48"/>
      <c r="O32" s="48"/>
      <c r="P32" s="48"/>
      <c r="Q32" s="48"/>
      <c r="R32" s="48"/>
    </row>
    <row r="33" customFormat="false" ht="14.25" hidden="false" customHeight="true" outlineLevel="0" collapsed="false">
      <c r="A33" s="44" t="s">
        <v>57</v>
      </c>
      <c r="B33" s="45" t="n">
        <v>0</v>
      </c>
      <c r="C33" s="45" t="n">
        <v>0</v>
      </c>
      <c r="D33" s="45" t="n">
        <v>1</v>
      </c>
      <c r="E33" s="45" t="n">
        <v>0</v>
      </c>
      <c r="F33" s="45" t="n">
        <v>0</v>
      </c>
      <c r="G33" s="45" t="n">
        <v>0</v>
      </c>
      <c r="H33" s="45" t="n">
        <v>0</v>
      </c>
      <c r="I33" s="45" t="n">
        <v>0</v>
      </c>
      <c r="J33" s="46" t="n">
        <f aca="false">SUMPRODUCT(B33:I33,$B$11:$I$11)</f>
        <v>1</v>
      </c>
      <c r="K33" s="50" t="n">
        <f aca="false">J33+J32</f>
        <v>7</v>
      </c>
      <c r="L33" s="50" t="n">
        <f aca="false">SUM(J30:J33)</f>
        <v>8.5</v>
      </c>
      <c r="M33" s="50" t="n">
        <f aca="false">SUM(C30:I33)</f>
        <v>8</v>
      </c>
      <c r="N33" s="48"/>
      <c r="O33" s="48"/>
      <c r="P33" s="48"/>
      <c r="Q33" s="48"/>
      <c r="R33" s="48"/>
    </row>
    <row r="34" customFormat="false" ht="14.25" hidden="false" customHeight="true" outlineLevel="0" collapsed="false">
      <c r="A34" s="44" t="s">
        <v>58</v>
      </c>
      <c r="B34" s="45" t="n">
        <v>0</v>
      </c>
      <c r="C34" s="45" t="n">
        <v>0</v>
      </c>
      <c r="D34" s="45" t="n">
        <v>3</v>
      </c>
      <c r="E34" s="45" t="n">
        <v>0</v>
      </c>
      <c r="F34" s="45" t="n">
        <v>0</v>
      </c>
      <c r="G34" s="45" t="n">
        <v>0</v>
      </c>
      <c r="H34" s="45" t="n">
        <v>0</v>
      </c>
      <c r="I34" s="45" t="n">
        <v>0</v>
      </c>
      <c r="J34" s="46" t="n">
        <f aca="false">SUMPRODUCT(B34:I34,$B$11:$I$11)</f>
        <v>3</v>
      </c>
      <c r="K34" s="47"/>
      <c r="L34" s="47"/>
      <c r="M34" s="47"/>
      <c r="N34" s="48"/>
      <c r="O34" s="48"/>
      <c r="P34" s="48"/>
      <c r="Q34" s="48"/>
      <c r="R34" s="48"/>
    </row>
    <row r="35" customFormat="false" ht="14.25" hidden="false" customHeight="true" outlineLevel="0" collapsed="false">
      <c r="A35" s="44" t="s">
        <v>59</v>
      </c>
      <c r="B35" s="45" t="n">
        <v>0</v>
      </c>
      <c r="C35" s="45" t="n">
        <v>1</v>
      </c>
      <c r="D35" s="45" t="n">
        <v>4</v>
      </c>
      <c r="E35" s="45" t="n">
        <v>0</v>
      </c>
      <c r="F35" s="45" t="n">
        <v>0</v>
      </c>
      <c r="G35" s="45" t="n">
        <v>0</v>
      </c>
      <c r="H35" s="45" t="n">
        <v>0</v>
      </c>
      <c r="I35" s="45" t="n">
        <v>0</v>
      </c>
      <c r="J35" s="46" t="n">
        <f aca="false">SUMPRODUCT(B35:I35,$B$11:$I$11)</f>
        <v>5</v>
      </c>
      <c r="K35" s="50" t="n">
        <f aca="false">J35+J34</f>
        <v>8</v>
      </c>
      <c r="L35" s="51"/>
      <c r="M35" s="51"/>
      <c r="N35" s="48"/>
      <c r="O35" s="48"/>
      <c r="P35" s="48"/>
      <c r="Q35" s="48"/>
      <c r="R35" s="48"/>
    </row>
    <row r="36" customFormat="false" ht="14.25" hidden="false" customHeight="true" outlineLevel="0" collapsed="false">
      <c r="A36" s="44" t="s">
        <v>60</v>
      </c>
      <c r="B36" s="45" t="n">
        <v>0</v>
      </c>
      <c r="C36" s="45" t="n">
        <v>0</v>
      </c>
      <c r="D36" s="45" t="n">
        <v>7</v>
      </c>
      <c r="E36" s="45" t="n">
        <v>0</v>
      </c>
      <c r="F36" s="45" t="n">
        <v>0</v>
      </c>
      <c r="G36" s="45" t="n">
        <v>0</v>
      </c>
      <c r="H36" s="45" t="n">
        <v>0</v>
      </c>
      <c r="I36" s="45" t="n">
        <v>0</v>
      </c>
      <c r="J36" s="46" t="n">
        <f aca="false">SUMPRODUCT(B36:I36,$B$11:$I$11)</f>
        <v>7</v>
      </c>
      <c r="K36" s="47"/>
      <c r="L36" s="50"/>
      <c r="M36" s="50"/>
      <c r="N36" s="48"/>
      <c r="O36" s="48"/>
      <c r="P36" s="48"/>
      <c r="Q36" s="48"/>
      <c r="R36" s="48"/>
    </row>
    <row r="37" customFormat="false" ht="14.25" hidden="false" customHeight="true" outlineLevel="0" collapsed="false">
      <c r="A37" s="44" t="s">
        <v>61</v>
      </c>
      <c r="B37" s="45" t="n">
        <v>0</v>
      </c>
      <c r="C37" s="45" t="n">
        <v>0</v>
      </c>
      <c r="D37" s="45" t="n">
        <v>7</v>
      </c>
      <c r="E37" s="45" t="n">
        <v>0</v>
      </c>
      <c r="F37" s="45" t="n">
        <v>0</v>
      </c>
      <c r="G37" s="45" t="n">
        <v>0</v>
      </c>
      <c r="H37" s="45" t="n">
        <v>0</v>
      </c>
      <c r="I37" s="45" t="n">
        <v>0</v>
      </c>
      <c r="J37" s="46" t="n">
        <f aca="false">SUMPRODUCT(B37:I37,$B$11:$I$11)</f>
        <v>7</v>
      </c>
      <c r="K37" s="50" t="n">
        <f aca="false">J37+J36</f>
        <v>14</v>
      </c>
      <c r="L37" s="50" t="n">
        <f aca="false">SUM(J34:J37)</f>
        <v>22</v>
      </c>
      <c r="M37" s="50" t="n">
        <f aca="false">SUM(C34:I37)</f>
        <v>22</v>
      </c>
      <c r="N37" s="48"/>
      <c r="O37" s="48"/>
      <c r="P37" s="48"/>
      <c r="Q37" s="48"/>
      <c r="R37" s="48"/>
    </row>
    <row r="38" customFormat="false" ht="14.25" hidden="false" customHeight="true" outlineLevel="0" collapsed="false">
      <c r="A38" s="44" t="s">
        <v>62</v>
      </c>
      <c r="B38" s="45" t="n">
        <v>0</v>
      </c>
      <c r="C38" s="45" t="n">
        <v>0</v>
      </c>
      <c r="D38" s="45" t="n">
        <v>2</v>
      </c>
      <c r="E38" s="45" t="n">
        <v>0</v>
      </c>
      <c r="F38" s="45" t="n">
        <v>0</v>
      </c>
      <c r="G38" s="45" t="n">
        <v>0</v>
      </c>
      <c r="H38" s="45" t="n">
        <v>0</v>
      </c>
      <c r="I38" s="45" t="n">
        <v>0</v>
      </c>
      <c r="J38" s="46" t="n">
        <f aca="false">SUMPRODUCT(B38:I38,$B$11:$I$11)</f>
        <v>2</v>
      </c>
      <c r="K38" s="47"/>
      <c r="L38" s="47"/>
      <c r="M38" s="47"/>
      <c r="N38" s="48"/>
      <c r="O38" s="48"/>
      <c r="P38" s="48"/>
      <c r="Q38" s="48"/>
      <c r="R38" s="48"/>
    </row>
    <row r="39" customFormat="false" ht="14.25" hidden="false" customHeight="true" outlineLevel="0" collapsed="false">
      <c r="A39" s="44" t="s">
        <v>63</v>
      </c>
      <c r="B39" s="45" t="n">
        <v>1</v>
      </c>
      <c r="C39" s="45" t="n">
        <v>0</v>
      </c>
      <c r="D39" s="45" t="n">
        <v>1</v>
      </c>
      <c r="E39" s="45" t="n">
        <v>0</v>
      </c>
      <c r="F39" s="45" t="n">
        <v>0</v>
      </c>
      <c r="G39" s="45" t="n">
        <v>0</v>
      </c>
      <c r="H39" s="45" t="n">
        <v>0</v>
      </c>
      <c r="I39" s="45" t="n">
        <v>0</v>
      </c>
      <c r="J39" s="46" t="n">
        <f aca="false">SUMPRODUCT(B39:I39,$B$11:$I$11)</f>
        <v>1.5</v>
      </c>
      <c r="K39" s="50" t="n">
        <f aca="false">J39+J38</f>
        <v>3.5</v>
      </c>
      <c r="L39" s="51"/>
      <c r="M39" s="51"/>
      <c r="N39" s="48"/>
      <c r="O39" s="48"/>
      <c r="P39" s="48"/>
      <c r="Q39" s="48"/>
      <c r="R39" s="48"/>
    </row>
    <row r="40" customFormat="false" ht="14.25" hidden="false" customHeight="true" outlineLevel="0" collapsed="false">
      <c r="A40" s="44" t="s">
        <v>64</v>
      </c>
      <c r="B40" s="45" t="n">
        <v>0</v>
      </c>
      <c r="C40" s="45" t="n">
        <v>0</v>
      </c>
      <c r="D40" s="45" t="n">
        <v>5</v>
      </c>
      <c r="E40" s="45" t="n">
        <v>0</v>
      </c>
      <c r="F40" s="45" t="n">
        <v>0</v>
      </c>
      <c r="G40" s="45" t="n">
        <v>0</v>
      </c>
      <c r="H40" s="45" t="n">
        <v>0</v>
      </c>
      <c r="I40" s="45" t="n">
        <v>0</v>
      </c>
      <c r="J40" s="46" t="n">
        <f aca="false">SUMPRODUCT(B40:I40,$B$11:$I$11)</f>
        <v>5</v>
      </c>
      <c r="K40" s="47"/>
      <c r="L40" s="50"/>
      <c r="M40" s="50"/>
      <c r="N40" s="48"/>
      <c r="O40" s="48"/>
      <c r="P40" s="48"/>
      <c r="Q40" s="48"/>
      <c r="R40" s="48"/>
    </row>
    <row r="41" customFormat="false" ht="14.25" hidden="false" customHeight="true" outlineLevel="0" collapsed="false">
      <c r="A41" s="44" t="s">
        <v>65</v>
      </c>
      <c r="B41" s="45" t="n">
        <v>0</v>
      </c>
      <c r="C41" s="45" t="n">
        <v>0</v>
      </c>
      <c r="D41" s="45" t="n">
        <v>1</v>
      </c>
      <c r="E41" s="45" t="n">
        <v>0</v>
      </c>
      <c r="F41" s="45" t="n">
        <v>0</v>
      </c>
      <c r="G41" s="45" t="n">
        <v>0</v>
      </c>
      <c r="H41" s="45" t="n">
        <v>0</v>
      </c>
      <c r="I41" s="45" t="n">
        <v>0</v>
      </c>
      <c r="J41" s="46" t="n">
        <f aca="false">SUMPRODUCT(B41:I41,$B$11:$I$11)</f>
        <v>1</v>
      </c>
      <c r="K41" s="50" t="n">
        <f aca="false">J41+J40</f>
        <v>6</v>
      </c>
      <c r="L41" s="50" t="n">
        <f aca="false">SUM(J38:J41)</f>
        <v>9.5</v>
      </c>
      <c r="M41" s="50" t="n">
        <f aca="false">SUM(C38:I41)</f>
        <v>9</v>
      </c>
      <c r="N41" s="48"/>
      <c r="O41" s="48"/>
      <c r="P41" s="48"/>
      <c r="Q41" s="48"/>
      <c r="R41" s="48"/>
    </row>
    <row r="42" customFormat="false" ht="14.25" hidden="false" customHeight="true" outlineLevel="0" collapsed="false">
      <c r="A42" s="44" t="s">
        <v>66</v>
      </c>
      <c r="B42" s="45" t="n">
        <v>0</v>
      </c>
      <c r="C42" s="45" t="n">
        <v>0</v>
      </c>
      <c r="D42" s="45" t="n">
        <v>2</v>
      </c>
      <c r="E42" s="45" t="n">
        <v>0</v>
      </c>
      <c r="F42" s="45" t="n">
        <v>0</v>
      </c>
      <c r="G42" s="45" t="n">
        <v>0</v>
      </c>
      <c r="H42" s="45" t="n">
        <v>0</v>
      </c>
      <c r="I42" s="45" t="n">
        <v>0</v>
      </c>
      <c r="J42" s="46" t="n">
        <f aca="false">SUMPRODUCT(B42:I42,$B$11:$I$11)</f>
        <v>2</v>
      </c>
      <c r="K42" s="47"/>
      <c r="L42" s="47"/>
      <c r="M42" s="47"/>
      <c r="N42" s="48"/>
      <c r="O42" s="48"/>
      <c r="P42" s="48"/>
      <c r="Q42" s="48"/>
      <c r="R42" s="48"/>
    </row>
    <row r="43" customFormat="false" ht="14.25" hidden="false" customHeight="true" outlineLevel="0" collapsed="false">
      <c r="A43" s="44" t="s">
        <v>67</v>
      </c>
      <c r="B43" s="45" t="n">
        <v>0</v>
      </c>
      <c r="C43" s="45" t="n">
        <v>0</v>
      </c>
      <c r="D43" s="45" t="n">
        <v>5</v>
      </c>
      <c r="E43" s="45" t="n">
        <v>0</v>
      </c>
      <c r="F43" s="45" t="n">
        <v>0</v>
      </c>
      <c r="G43" s="45" t="n">
        <v>0</v>
      </c>
      <c r="H43" s="45" t="n">
        <v>0</v>
      </c>
      <c r="I43" s="45" t="n">
        <v>0</v>
      </c>
      <c r="J43" s="46" t="n">
        <f aca="false">SUMPRODUCT(B43:I43,$B$11:$I$11)</f>
        <v>5</v>
      </c>
      <c r="K43" s="50" t="n">
        <f aca="false">J43+J42</f>
        <v>7</v>
      </c>
      <c r="L43" s="51"/>
      <c r="M43" s="51"/>
      <c r="N43" s="48"/>
      <c r="O43" s="48"/>
      <c r="P43" s="48"/>
      <c r="Q43" s="48"/>
      <c r="R43" s="48"/>
    </row>
    <row r="44" customFormat="false" ht="14.25" hidden="false" customHeight="true" outlineLevel="0" collapsed="false">
      <c r="A44" s="44" t="s">
        <v>68</v>
      </c>
      <c r="B44" s="45" t="n">
        <v>0</v>
      </c>
      <c r="C44" s="45" t="n">
        <v>0</v>
      </c>
      <c r="D44" s="45" t="n">
        <v>0</v>
      </c>
      <c r="E44" s="45" t="n">
        <v>0</v>
      </c>
      <c r="F44" s="45" t="n">
        <v>0</v>
      </c>
      <c r="G44" s="45" t="n">
        <v>0</v>
      </c>
      <c r="H44" s="45" t="n">
        <v>0</v>
      </c>
      <c r="I44" s="45" t="n">
        <v>0</v>
      </c>
      <c r="J44" s="46" t="n">
        <f aca="false">SUMPRODUCT(B44:I44,$B$11:$I$11)</f>
        <v>0</v>
      </c>
      <c r="K44" s="47"/>
      <c r="L44" s="50"/>
      <c r="M44" s="50"/>
      <c r="N44" s="48"/>
      <c r="O44" s="48"/>
      <c r="P44" s="48"/>
      <c r="Q44" s="48"/>
      <c r="R44" s="48"/>
    </row>
    <row r="45" customFormat="false" ht="14.25" hidden="false" customHeight="true" outlineLevel="0" collapsed="false">
      <c r="A45" s="44" t="s">
        <v>69</v>
      </c>
      <c r="B45" s="45" t="n">
        <v>0</v>
      </c>
      <c r="C45" s="45" t="n">
        <v>0</v>
      </c>
      <c r="D45" s="45" t="n">
        <v>3</v>
      </c>
      <c r="E45" s="45" t="n">
        <v>0</v>
      </c>
      <c r="F45" s="45" t="n">
        <v>0</v>
      </c>
      <c r="G45" s="45" t="n">
        <v>0</v>
      </c>
      <c r="H45" s="45" t="n">
        <v>0</v>
      </c>
      <c r="I45" s="45" t="n">
        <v>0</v>
      </c>
      <c r="J45" s="46" t="n">
        <f aca="false">SUMPRODUCT(B45:I45,$B$11:$I$11)</f>
        <v>3</v>
      </c>
      <c r="K45" s="50" t="n">
        <f aca="false">J45+J44</f>
        <v>3</v>
      </c>
      <c r="L45" s="50" t="n">
        <f aca="false">SUM(J42:J45)</f>
        <v>10</v>
      </c>
      <c r="M45" s="50" t="n">
        <f aca="false">SUM(C42:I45)</f>
        <v>10</v>
      </c>
      <c r="N45" s="48"/>
      <c r="O45" s="48"/>
      <c r="P45" s="48"/>
      <c r="Q45" s="48"/>
      <c r="R45" s="48"/>
    </row>
    <row r="46" customFormat="false" ht="14.25" hidden="false" customHeight="true" outlineLevel="0" collapsed="false">
      <c r="A46" s="44" t="s">
        <v>70</v>
      </c>
      <c r="B46" s="45" t="n">
        <v>0</v>
      </c>
      <c r="C46" s="45" t="n">
        <v>0</v>
      </c>
      <c r="D46" s="45" t="n">
        <v>0</v>
      </c>
      <c r="E46" s="45" t="n">
        <v>0</v>
      </c>
      <c r="F46" s="45" t="n">
        <v>0</v>
      </c>
      <c r="G46" s="45" t="n">
        <v>0</v>
      </c>
      <c r="H46" s="45" t="n">
        <v>0</v>
      </c>
      <c r="I46" s="45" t="n">
        <v>0</v>
      </c>
      <c r="J46" s="46" t="n">
        <f aca="false">SUMPRODUCT(B46:I46,$B$11:$I$11)</f>
        <v>0</v>
      </c>
      <c r="K46" s="47"/>
      <c r="L46" s="47"/>
      <c r="M46" s="47"/>
      <c r="N46" s="48"/>
      <c r="O46" s="48"/>
      <c r="P46" s="48"/>
      <c r="Q46" s="48"/>
      <c r="R46" s="48"/>
    </row>
    <row r="47" customFormat="false" ht="14.25" hidden="false" customHeight="true" outlineLevel="0" collapsed="false">
      <c r="A47" s="44" t="s">
        <v>71</v>
      </c>
      <c r="B47" s="45" t="n">
        <v>0</v>
      </c>
      <c r="C47" s="45" t="n">
        <v>0</v>
      </c>
      <c r="D47" s="45" t="n">
        <v>1</v>
      </c>
      <c r="E47" s="45" t="n">
        <v>0</v>
      </c>
      <c r="F47" s="45" t="n">
        <v>0</v>
      </c>
      <c r="G47" s="45" t="n">
        <v>0</v>
      </c>
      <c r="H47" s="45" t="n">
        <v>0</v>
      </c>
      <c r="I47" s="45" t="n">
        <v>0</v>
      </c>
      <c r="J47" s="46" t="n">
        <f aca="false">SUMPRODUCT(B47:I47,$B$11:$I$11)</f>
        <v>1</v>
      </c>
      <c r="K47" s="50" t="n">
        <f aca="false">J47+J46</f>
        <v>1</v>
      </c>
      <c r="L47" s="51"/>
      <c r="M47" s="51"/>
      <c r="N47" s="48"/>
      <c r="O47" s="48"/>
      <c r="P47" s="48"/>
      <c r="Q47" s="48"/>
      <c r="R47" s="48"/>
    </row>
    <row r="48" customFormat="false" ht="14.25" hidden="false" customHeight="true" outlineLevel="0" collapsed="false">
      <c r="A48" s="44" t="s">
        <v>72</v>
      </c>
      <c r="B48" s="45" t="n">
        <v>0</v>
      </c>
      <c r="C48" s="45" t="n">
        <v>0</v>
      </c>
      <c r="D48" s="45" t="n">
        <v>2</v>
      </c>
      <c r="E48" s="45" t="n">
        <v>0</v>
      </c>
      <c r="F48" s="45" t="n">
        <v>0</v>
      </c>
      <c r="G48" s="45" t="n">
        <v>0</v>
      </c>
      <c r="H48" s="45" t="n">
        <v>0</v>
      </c>
      <c r="I48" s="45" t="n">
        <v>0</v>
      </c>
      <c r="J48" s="46" t="n">
        <f aca="false">SUMPRODUCT(B48:I48,$B$11:$I$11)</f>
        <v>2</v>
      </c>
      <c r="K48" s="47"/>
      <c r="L48" s="50"/>
      <c r="M48" s="50"/>
      <c r="N48" s="48"/>
      <c r="O48" s="48"/>
      <c r="P48" s="48"/>
      <c r="Q48" s="48"/>
      <c r="R48" s="48"/>
    </row>
    <row r="49" customFormat="false" ht="14.25" hidden="false" customHeight="true" outlineLevel="0" collapsed="false">
      <c r="A49" s="44" t="s">
        <v>73</v>
      </c>
      <c r="B49" s="45" t="n">
        <v>1</v>
      </c>
      <c r="C49" s="45" t="n">
        <v>0</v>
      </c>
      <c r="D49" s="45" t="n">
        <v>0</v>
      </c>
      <c r="E49" s="45" t="n">
        <v>0</v>
      </c>
      <c r="F49" s="45" t="n">
        <v>0</v>
      </c>
      <c r="G49" s="45" t="n">
        <v>0</v>
      </c>
      <c r="H49" s="45" t="n">
        <v>0</v>
      </c>
      <c r="I49" s="45" t="n">
        <v>0</v>
      </c>
      <c r="J49" s="46" t="n">
        <f aca="false">SUMPRODUCT(B49:I49,$B$11:$I$11)</f>
        <v>0.5</v>
      </c>
      <c r="K49" s="50" t="n">
        <f aca="false">J49+J48</f>
        <v>2.5</v>
      </c>
      <c r="L49" s="50" t="n">
        <f aca="false">SUM(J46:J49)</f>
        <v>3.5</v>
      </c>
      <c r="M49" s="50" t="n">
        <f aca="false">SUM(C46:I49)</f>
        <v>3</v>
      </c>
      <c r="N49" s="48"/>
      <c r="O49" s="48"/>
      <c r="P49" s="48"/>
      <c r="Q49" s="48"/>
      <c r="R49" s="48"/>
    </row>
    <row r="50" customFormat="false" ht="14.25" hidden="false" customHeight="true" outlineLevel="0" collapsed="false">
      <c r="A50" s="44" t="s">
        <v>74</v>
      </c>
      <c r="B50" s="45" t="n">
        <v>0</v>
      </c>
      <c r="C50" s="45" t="n">
        <v>0</v>
      </c>
      <c r="D50" s="45" t="n">
        <v>4</v>
      </c>
      <c r="E50" s="45" t="n">
        <v>0</v>
      </c>
      <c r="F50" s="45" t="n">
        <v>0</v>
      </c>
      <c r="G50" s="45" t="n">
        <v>0</v>
      </c>
      <c r="H50" s="45" t="n">
        <v>0</v>
      </c>
      <c r="I50" s="45" t="n">
        <v>0</v>
      </c>
      <c r="J50" s="46" t="n">
        <f aca="false">SUMPRODUCT(B50:I50,$B$11:$I$11)</f>
        <v>4</v>
      </c>
      <c r="K50" s="47"/>
      <c r="L50" s="47"/>
      <c r="M50" s="47"/>
      <c r="N50" s="48"/>
      <c r="O50" s="48"/>
      <c r="P50" s="48"/>
      <c r="Q50" s="48"/>
      <c r="R50" s="48"/>
    </row>
    <row r="51" customFormat="false" ht="14.25" hidden="false" customHeight="true" outlineLevel="0" collapsed="false">
      <c r="A51" s="44" t="s">
        <v>75</v>
      </c>
      <c r="B51" s="45" t="n">
        <v>0</v>
      </c>
      <c r="C51" s="45" t="n">
        <v>0</v>
      </c>
      <c r="D51" s="45" t="n">
        <v>1</v>
      </c>
      <c r="E51" s="45" t="n">
        <v>0</v>
      </c>
      <c r="F51" s="45" t="n">
        <v>0</v>
      </c>
      <c r="G51" s="45" t="n">
        <v>0</v>
      </c>
      <c r="H51" s="45" t="n">
        <v>0</v>
      </c>
      <c r="I51" s="45" t="n">
        <v>0</v>
      </c>
      <c r="J51" s="46" t="n">
        <f aca="false">SUMPRODUCT(B51:I51,$B$11:$I$11)</f>
        <v>1</v>
      </c>
      <c r="K51" s="50" t="n">
        <f aca="false">J51+J50</f>
        <v>5</v>
      </c>
      <c r="L51" s="51"/>
      <c r="M51" s="51"/>
      <c r="N51" s="48"/>
      <c r="O51" s="48"/>
      <c r="P51" s="48"/>
      <c r="Q51" s="48"/>
      <c r="R51" s="48"/>
    </row>
    <row r="52" customFormat="false" ht="14.25" hidden="false" customHeight="true" outlineLevel="0" collapsed="false">
      <c r="A52" s="44" t="s">
        <v>76</v>
      </c>
      <c r="B52" s="45" t="n">
        <v>1</v>
      </c>
      <c r="C52" s="45" t="n">
        <v>0</v>
      </c>
      <c r="D52" s="45" t="n">
        <v>1</v>
      </c>
      <c r="E52" s="45" t="n">
        <v>0</v>
      </c>
      <c r="F52" s="45" t="n">
        <v>0</v>
      </c>
      <c r="G52" s="45" t="n">
        <v>0</v>
      </c>
      <c r="H52" s="45" t="n">
        <v>0</v>
      </c>
      <c r="I52" s="45" t="n">
        <v>0</v>
      </c>
      <c r="J52" s="46" t="n">
        <f aca="false">SUMPRODUCT(B52:I52,$B$11:$I$11)</f>
        <v>1.5</v>
      </c>
      <c r="K52" s="47"/>
      <c r="L52" s="50"/>
      <c r="M52" s="50"/>
      <c r="N52" s="48"/>
      <c r="O52" s="48"/>
      <c r="P52" s="48"/>
      <c r="Q52" s="48"/>
      <c r="R52" s="48"/>
    </row>
    <row r="53" customFormat="false" ht="14.25" hidden="false" customHeight="true" outlineLevel="0" collapsed="false">
      <c r="A53" s="44" t="s">
        <v>77</v>
      </c>
      <c r="B53" s="45" t="n">
        <v>0</v>
      </c>
      <c r="C53" s="45" t="n">
        <v>1</v>
      </c>
      <c r="D53" s="45" t="n">
        <v>4</v>
      </c>
      <c r="E53" s="45" t="n">
        <v>0</v>
      </c>
      <c r="F53" s="45" t="n">
        <v>0</v>
      </c>
      <c r="G53" s="45" t="n">
        <v>0</v>
      </c>
      <c r="H53" s="45" t="n">
        <v>0</v>
      </c>
      <c r="I53" s="45" t="n">
        <v>0</v>
      </c>
      <c r="J53" s="46" t="n">
        <f aca="false">SUMPRODUCT(B53:I53,$B$11:$I$11)</f>
        <v>5</v>
      </c>
      <c r="K53" s="52" t="n">
        <f aca="false">J53+J52</f>
        <v>6.5</v>
      </c>
      <c r="L53" s="50" t="n">
        <f aca="false">SUM(J50:J53)</f>
        <v>11.5</v>
      </c>
      <c r="M53" s="50" t="n">
        <f aca="false">SUM(C50:I53)</f>
        <v>11</v>
      </c>
      <c r="N53" s="48"/>
      <c r="O53" s="48"/>
      <c r="P53" s="48"/>
      <c r="Q53" s="48"/>
      <c r="R53" s="48"/>
    </row>
    <row r="54" customFormat="false" ht="14.25" hidden="false" customHeight="true" outlineLevel="0" collapsed="false">
      <c r="A54" s="44" t="s">
        <v>78</v>
      </c>
      <c r="B54" s="45" t="n">
        <v>1</v>
      </c>
      <c r="C54" s="45" t="n">
        <v>0</v>
      </c>
      <c r="D54" s="45" t="n">
        <v>3</v>
      </c>
      <c r="E54" s="45" t="n">
        <v>0</v>
      </c>
      <c r="F54" s="45" t="n">
        <v>0</v>
      </c>
      <c r="G54" s="45" t="n">
        <v>0</v>
      </c>
      <c r="H54" s="45" t="n">
        <v>0</v>
      </c>
      <c r="I54" s="45" t="n">
        <v>0</v>
      </c>
      <c r="J54" s="46" t="n">
        <f aca="false">SUMPRODUCT(B54:I54,$B$11:$I$11)</f>
        <v>3.5</v>
      </c>
      <c r="K54" s="47"/>
      <c r="L54" s="47"/>
      <c r="M54" s="47"/>
      <c r="N54" s="48"/>
      <c r="O54" s="48"/>
      <c r="P54" s="48"/>
      <c r="Q54" s="48"/>
      <c r="R54" s="48"/>
    </row>
    <row r="55" customFormat="false" ht="14.25" hidden="false" customHeight="true" outlineLevel="0" collapsed="false">
      <c r="A55" s="44" t="s">
        <v>79</v>
      </c>
      <c r="B55" s="45" t="n">
        <v>1</v>
      </c>
      <c r="C55" s="45" t="n">
        <v>0</v>
      </c>
      <c r="D55" s="45" t="n">
        <v>4</v>
      </c>
      <c r="E55" s="45" t="n">
        <v>0</v>
      </c>
      <c r="F55" s="45" t="n">
        <v>0</v>
      </c>
      <c r="G55" s="45" t="n">
        <v>0</v>
      </c>
      <c r="H55" s="45" t="n">
        <v>0</v>
      </c>
      <c r="I55" s="45" t="n">
        <v>1</v>
      </c>
      <c r="J55" s="46" t="n">
        <f aca="false">SUMPRODUCT(B55:I55,$B$11:$I$11)</f>
        <v>6</v>
      </c>
      <c r="K55" s="50" t="n">
        <f aca="false">J55+J54</f>
        <v>9.5</v>
      </c>
      <c r="L55" s="51"/>
      <c r="M55" s="51"/>
      <c r="N55" s="48"/>
      <c r="O55" s="48"/>
      <c r="P55" s="48"/>
      <c r="Q55" s="48"/>
      <c r="R55" s="48"/>
    </row>
    <row r="56" customFormat="false" ht="14.25" hidden="false" customHeight="true" outlineLevel="0" collapsed="false">
      <c r="A56" s="44" t="s">
        <v>80</v>
      </c>
      <c r="B56" s="45" t="n">
        <v>0</v>
      </c>
      <c r="C56" s="45" t="n">
        <v>0</v>
      </c>
      <c r="D56" s="45" t="n">
        <v>3</v>
      </c>
      <c r="E56" s="45" t="n">
        <v>0</v>
      </c>
      <c r="F56" s="45" t="n">
        <v>0</v>
      </c>
      <c r="G56" s="45" t="n">
        <v>0</v>
      </c>
      <c r="H56" s="45" t="n">
        <v>0</v>
      </c>
      <c r="I56" s="45" t="n">
        <v>0</v>
      </c>
      <c r="J56" s="46" t="n">
        <f aca="false">SUMPRODUCT(B56:I56,$B$11:$I$11)</f>
        <v>3</v>
      </c>
      <c r="K56" s="47"/>
      <c r="L56" s="50"/>
      <c r="M56" s="50"/>
      <c r="N56" s="48"/>
      <c r="O56" s="48"/>
      <c r="P56" s="48"/>
      <c r="Q56" s="48"/>
      <c r="R56" s="48"/>
    </row>
    <row r="57" customFormat="false" ht="14.25" hidden="false" customHeight="true" outlineLevel="0" collapsed="false">
      <c r="A57" s="44" t="s">
        <v>81</v>
      </c>
      <c r="B57" s="45" t="n">
        <v>0</v>
      </c>
      <c r="C57" s="45" t="n">
        <v>0</v>
      </c>
      <c r="D57" s="45" t="n">
        <v>2</v>
      </c>
      <c r="E57" s="45" t="n">
        <v>0</v>
      </c>
      <c r="F57" s="45" t="n">
        <v>0</v>
      </c>
      <c r="G57" s="45" t="n">
        <v>0</v>
      </c>
      <c r="H57" s="45" t="n">
        <v>0</v>
      </c>
      <c r="I57" s="45" t="n">
        <v>0</v>
      </c>
      <c r="J57" s="46" t="n">
        <f aca="false">SUMPRODUCT(B57:I57,$B$11:$I$11)</f>
        <v>2</v>
      </c>
      <c r="K57" s="50" t="n">
        <f aca="false">J57+J56</f>
        <v>5</v>
      </c>
      <c r="L57" s="50" t="n">
        <f aca="false">SUM(J54:J57)</f>
        <v>14.5</v>
      </c>
      <c r="M57" s="50" t="n">
        <f aca="false">SUM(C54:I57)</f>
        <v>13</v>
      </c>
      <c r="N57" s="48"/>
      <c r="O57" s="48"/>
      <c r="P57" s="48"/>
      <c r="Q57" s="48"/>
      <c r="R57" s="48"/>
    </row>
    <row r="58" customFormat="false" ht="14.25" hidden="false" customHeight="true" outlineLevel="0" collapsed="false">
      <c r="A58" s="44" t="s">
        <v>82</v>
      </c>
      <c r="B58" s="45" t="n">
        <v>0</v>
      </c>
      <c r="C58" s="45" t="n">
        <v>0</v>
      </c>
      <c r="D58" s="45" t="n">
        <v>5</v>
      </c>
      <c r="E58" s="45" t="n">
        <v>0</v>
      </c>
      <c r="F58" s="45" t="n">
        <v>0</v>
      </c>
      <c r="G58" s="45" t="n">
        <v>0</v>
      </c>
      <c r="H58" s="45" t="n">
        <v>0</v>
      </c>
      <c r="I58" s="45" t="n">
        <v>0</v>
      </c>
      <c r="J58" s="46" t="n">
        <f aca="false">SUMPRODUCT(B58:I58,$B$11:$I$11)</f>
        <v>5</v>
      </c>
      <c r="K58" s="47"/>
      <c r="L58" s="47"/>
      <c r="M58" s="47"/>
      <c r="N58" s="48"/>
      <c r="O58" s="48"/>
      <c r="P58" s="48"/>
      <c r="Q58" s="48"/>
      <c r="R58" s="48"/>
    </row>
    <row r="59" customFormat="false" ht="14.25" hidden="false" customHeight="true" outlineLevel="0" collapsed="false">
      <c r="A59" s="44" t="s">
        <v>83</v>
      </c>
      <c r="B59" s="45" t="n">
        <v>2</v>
      </c>
      <c r="C59" s="45" t="n">
        <v>0</v>
      </c>
      <c r="D59" s="45" t="n">
        <v>6</v>
      </c>
      <c r="E59" s="45" t="n">
        <v>0</v>
      </c>
      <c r="F59" s="45" t="n">
        <v>0</v>
      </c>
      <c r="G59" s="45" t="n">
        <v>0</v>
      </c>
      <c r="H59" s="45" t="n">
        <v>0</v>
      </c>
      <c r="I59" s="45" t="n">
        <v>0</v>
      </c>
      <c r="J59" s="46" t="n">
        <f aca="false">SUMPRODUCT(B59:I59,$B$11:$I$11)</f>
        <v>7</v>
      </c>
      <c r="K59" s="50" t="n">
        <f aca="false">J59+J58</f>
        <v>12</v>
      </c>
      <c r="L59" s="51"/>
      <c r="M59" s="51"/>
      <c r="N59" s="48"/>
      <c r="O59" s="48"/>
      <c r="P59" s="48"/>
      <c r="Q59" s="48"/>
      <c r="R59" s="48"/>
    </row>
    <row r="60" customFormat="false" ht="14.25" hidden="false" customHeight="true" outlineLevel="0" collapsed="false">
      <c r="A60" s="44" t="s">
        <v>84</v>
      </c>
      <c r="B60" s="45" t="n">
        <v>0</v>
      </c>
      <c r="C60" s="45" t="n">
        <v>0</v>
      </c>
      <c r="D60" s="45" t="n">
        <v>4</v>
      </c>
      <c r="E60" s="45" t="n">
        <v>0</v>
      </c>
      <c r="F60" s="45" t="n">
        <v>0</v>
      </c>
      <c r="G60" s="45" t="n">
        <v>0</v>
      </c>
      <c r="H60" s="45" t="n">
        <v>0</v>
      </c>
      <c r="I60" s="45" t="n">
        <v>0</v>
      </c>
      <c r="J60" s="46" t="n">
        <f aca="false">SUMPRODUCT(B60:I60,$B$11:$I$11)</f>
        <v>4</v>
      </c>
      <c r="K60" s="47"/>
      <c r="L60" s="50"/>
      <c r="M60" s="50"/>
      <c r="N60" s="48"/>
      <c r="O60" s="48"/>
      <c r="P60" s="48"/>
      <c r="Q60" s="48"/>
      <c r="R60" s="48"/>
    </row>
    <row r="61" customFormat="false" ht="14.25" hidden="false" customHeight="true" outlineLevel="0" collapsed="false">
      <c r="A61" s="44" t="s">
        <v>85</v>
      </c>
      <c r="B61" s="45" t="n">
        <v>0</v>
      </c>
      <c r="C61" s="45" t="n">
        <v>0</v>
      </c>
      <c r="D61" s="45" t="n">
        <v>4</v>
      </c>
      <c r="E61" s="45" t="n">
        <v>0</v>
      </c>
      <c r="F61" s="45" t="n">
        <v>0</v>
      </c>
      <c r="G61" s="45" t="n">
        <v>0</v>
      </c>
      <c r="H61" s="45" t="n">
        <v>0</v>
      </c>
      <c r="I61" s="45" t="n">
        <v>0</v>
      </c>
      <c r="J61" s="46" t="n">
        <f aca="false">SUMPRODUCT(B61:I61,$B$11:$I$11)</f>
        <v>4</v>
      </c>
      <c r="K61" s="50" t="n">
        <f aca="false">J61+J60</f>
        <v>8</v>
      </c>
      <c r="L61" s="50" t="n">
        <f aca="false">SUM(J58:J61)</f>
        <v>20</v>
      </c>
      <c r="M61" s="50" t="n">
        <f aca="false">SUM(C58:I61)</f>
        <v>19</v>
      </c>
      <c r="N61" s="48"/>
      <c r="O61" s="48"/>
      <c r="P61" s="48"/>
      <c r="Q61" s="48"/>
      <c r="R61" s="48"/>
    </row>
    <row r="62" customFormat="false" ht="14.25" hidden="false" customHeight="true" outlineLevel="0" collapsed="false">
      <c r="A62" s="44" t="s">
        <v>86</v>
      </c>
      <c r="B62" s="45" t="n">
        <v>0</v>
      </c>
      <c r="C62" s="45" t="n">
        <v>0</v>
      </c>
      <c r="D62" s="45" t="n">
        <v>4</v>
      </c>
      <c r="E62" s="45" t="n">
        <v>0</v>
      </c>
      <c r="F62" s="45" t="n">
        <v>0</v>
      </c>
      <c r="G62" s="45" t="n">
        <v>0</v>
      </c>
      <c r="H62" s="45" t="n">
        <v>0</v>
      </c>
      <c r="I62" s="45" t="n">
        <v>0</v>
      </c>
      <c r="J62" s="46" t="n">
        <f aca="false">SUMPRODUCT(B62:I62,$B$11:$I$11)</f>
        <v>4</v>
      </c>
      <c r="K62" s="47"/>
      <c r="L62" s="47"/>
      <c r="M62" s="47"/>
      <c r="N62" s="48"/>
      <c r="O62" s="48"/>
      <c r="P62" s="48"/>
      <c r="Q62" s="48"/>
      <c r="R62" s="48"/>
    </row>
    <row r="63" customFormat="false" ht="14.25" hidden="false" customHeight="true" outlineLevel="0" collapsed="false">
      <c r="A63" s="44" t="s">
        <v>87</v>
      </c>
      <c r="B63" s="45" t="n">
        <v>1</v>
      </c>
      <c r="C63" s="45" t="n">
        <v>0</v>
      </c>
      <c r="D63" s="45" t="n">
        <v>1</v>
      </c>
      <c r="E63" s="45" t="n">
        <v>0</v>
      </c>
      <c r="F63" s="45" t="n">
        <v>0</v>
      </c>
      <c r="G63" s="45" t="n">
        <v>0</v>
      </c>
      <c r="H63" s="45" t="n">
        <v>0</v>
      </c>
      <c r="I63" s="45" t="n">
        <v>0</v>
      </c>
      <c r="J63" s="46" t="n">
        <f aca="false">SUMPRODUCT(B63:I63,$B$11:$I$11)</f>
        <v>1.5</v>
      </c>
      <c r="K63" s="50" t="n">
        <f aca="false">J63+J62</f>
        <v>5.5</v>
      </c>
      <c r="L63" s="51"/>
      <c r="M63" s="51"/>
      <c r="N63" s="48"/>
      <c r="O63" s="48"/>
      <c r="P63" s="48"/>
      <c r="Q63" s="48"/>
      <c r="R63" s="48"/>
    </row>
    <row r="64" customFormat="false" ht="14.25" hidden="false" customHeight="true" outlineLevel="0" collapsed="false">
      <c r="A64" s="44" t="s">
        <v>88</v>
      </c>
      <c r="B64" s="45" t="n">
        <v>1</v>
      </c>
      <c r="C64" s="45" t="n">
        <v>0</v>
      </c>
      <c r="D64" s="45" t="n">
        <v>0</v>
      </c>
      <c r="E64" s="45" t="n">
        <v>0</v>
      </c>
      <c r="F64" s="45" t="n">
        <v>0</v>
      </c>
      <c r="G64" s="45" t="n">
        <v>0</v>
      </c>
      <c r="H64" s="45" t="n">
        <v>0</v>
      </c>
      <c r="I64" s="45" t="n">
        <v>0</v>
      </c>
      <c r="J64" s="46" t="n">
        <f aca="false">SUMPRODUCT(B64:I64,$B$11:$I$11)</f>
        <v>0.5</v>
      </c>
      <c r="K64" s="47"/>
      <c r="L64" s="50"/>
      <c r="M64" s="50"/>
      <c r="N64" s="48"/>
      <c r="O64" s="48"/>
      <c r="P64" s="48"/>
      <c r="Q64" s="48"/>
      <c r="R64" s="48"/>
    </row>
    <row r="65" customFormat="false" ht="14.25" hidden="false" customHeight="true" outlineLevel="0" collapsed="false">
      <c r="A65" s="44" t="s">
        <v>89</v>
      </c>
      <c r="B65" s="45" t="n">
        <v>0</v>
      </c>
      <c r="C65" s="45" t="n">
        <v>0</v>
      </c>
      <c r="D65" s="45" t="n">
        <v>0</v>
      </c>
      <c r="E65" s="45" t="n">
        <v>0</v>
      </c>
      <c r="F65" s="45" t="n">
        <v>0</v>
      </c>
      <c r="G65" s="45" t="n">
        <v>0</v>
      </c>
      <c r="H65" s="45" t="n">
        <v>0</v>
      </c>
      <c r="I65" s="45" t="n">
        <v>0</v>
      </c>
      <c r="J65" s="46" t="n">
        <f aca="false">SUMPRODUCT(B65:I65,$B$11:$I$11)</f>
        <v>0</v>
      </c>
      <c r="K65" s="50" t="n">
        <f aca="false">J65+J64</f>
        <v>0.5</v>
      </c>
      <c r="L65" s="50" t="n">
        <f aca="false">SUM(J62:J65)</f>
        <v>6</v>
      </c>
      <c r="M65" s="50" t="n">
        <f aca="false">SUM(C62:I65)</f>
        <v>5</v>
      </c>
      <c r="N65" s="48"/>
      <c r="O65" s="48"/>
      <c r="P65" s="48"/>
      <c r="Q65" s="48"/>
      <c r="R65" s="48"/>
    </row>
    <row r="66" customFormat="false" ht="14.25" hidden="false" customHeight="true" outlineLevel="0" collapsed="false">
      <c r="A66" s="44" t="s">
        <v>90</v>
      </c>
      <c r="B66" s="45" t="n">
        <v>1</v>
      </c>
      <c r="C66" s="45" t="n">
        <v>1</v>
      </c>
      <c r="D66" s="45" t="n">
        <v>1</v>
      </c>
      <c r="E66" s="45" t="n">
        <v>0</v>
      </c>
      <c r="F66" s="45" t="n">
        <v>0</v>
      </c>
      <c r="G66" s="45" t="n">
        <v>0</v>
      </c>
      <c r="H66" s="45" t="n">
        <v>0</v>
      </c>
      <c r="I66" s="45" t="n">
        <v>0</v>
      </c>
      <c r="J66" s="46" t="n">
        <f aca="false">SUMPRODUCT(B66:I66,$B$11:$I$11)</f>
        <v>2.5</v>
      </c>
      <c r="K66" s="47"/>
      <c r="L66" s="47"/>
      <c r="M66" s="47"/>
      <c r="N66" s="48"/>
      <c r="O66" s="48"/>
      <c r="P66" s="48"/>
      <c r="Q66" s="48"/>
      <c r="R66" s="48"/>
    </row>
    <row r="67" customFormat="false" ht="14.25" hidden="false" customHeight="true" outlineLevel="0" collapsed="false">
      <c r="A67" s="44" t="s">
        <v>91</v>
      </c>
      <c r="B67" s="45" t="n">
        <v>0</v>
      </c>
      <c r="C67" s="45" t="n">
        <v>0</v>
      </c>
      <c r="D67" s="45" t="n">
        <v>1</v>
      </c>
      <c r="E67" s="45" t="n">
        <v>0</v>
      </c>
      <c r="F67" s="45" t="n">
        <v>0</v>
      </c>
      <c r="G67" s="45" t="n">
        <v>0</v>
      </c>
      <c r="H67" s="45" t="n">
        <v>0</v>
      </c>
      <c r="I67" s="45" t="n">
        <v>0</v>
      </c>
      <c r="J67" s="46" t="n">
        <f aca="false">SUMPRODUCT(B67:I67,$B$11:$I$11)</f>
        <v>1</v>
      </c>
      <c r="K67" s="50" t="n">
        <f aca="false">J67+J66</f>
        <v>3.5</v>
      </c>
      <c r="L67" s="51"/>
      <c r="M67" s="53"/>
      <c r="N67" s="48"/>
      <c r="O67" s="48"/>
      <c r="P67" s="48"/>
      <c r="Q67" s="48"/>
      <c r="R67" s="48"/>
    </row>
    <row r="68" customFormat="false" ht="14.25" hidden="false" customHeight="true" outlineLevel="0" collapsed="false">
      <c r="A68" s="44" t="s">
        <v>92</v>
      </c>
      <c r="B68" s="45" t="n">
        <v>0</v>
      </c>
      <c r="C68" s="45" t="n">
        <v>0</v>
      </c>
      <c r="D68" s="45" t="n">
        <v>2</v>
      </c>
      <c r="E68" s="45" t="n">
        <v>0</v>
      </c>
      <c r="F68" s="45" t="n">
        <v>0</v>
      </c>
      <c r="G68" s="45" t="n">
        <v>0</v>
      </c>
      <c r="H68" s="45" t="n">
        <v>0</v>
      </c>
      <c r="I68" s="45" t="n">
        <v>0</v>
      </c>
      <c r="J68" s="46" t="n">
        <f aca="false">SUMPRODUCT(B68:I68,$B$11:$I$11)</f>
        <v>2</v>
      </c>
      <c r="K68" s="47"/>
      <c r="L68" s="50"/>
      <c r="M68" s="50"/>
      <c r="N68" s="48"/>
      <c r="O68" s="48"/>
      <c r="P68" s="48"/>
      <c r="Q68" s="48"/>
      <c r="R68" s="48"/>
    </row>
    <row r="69" customFormat="false" ht="14.25" hidden="false" customHeight="true" outlineLevel="0" collapsed="false">
      <c r="A69" s="44" t="s">
        <v>93</v>
      </c>
      <c r="B69" s="45" t="n">
        <v>0</v>
      </c>
      <c r="C69" s="45" t="n">
        <v>0</v>
      </c>
      <c r="D69" s="45" t="n">
        <v>3</v>
      </c>
      <c r="E69" s="45" t="n">
        <v>0</v>
      </c>
      <c r="F69" s="45" t="n">
        <v>0</v>
      </c>
      <c r="G69" s="45" t="n">
        <v>0</v>
      </c>
      <c r="H69" s="45" t="n">
        <v>0</v>
      </c>
      <c r="I69" s="45" t="n">
        <v>0</v>
      </c>
      <c r="J69" s="46" t="n">
        <f aca="false">SUMPRODUCT(B69:I69,$B$11:$I$11)</f>
        <v>3</v>
      </c>
      <c r="K69" s="52" t="n">
        <f aca="false">J69+J68</f>
        <v>5</v>
      </c>
      <c r="L69" s="52" t="n">
        <f aca="false">SUM(J66:J69)</f>
        <v>8.5</v>
      </c>
      <c r="M69" s="52" t="n">
        <f aca="false">SUM(C66:I69)</f>
        <v>8</v>
      </c>
      <c r="N69" s="48"/>
      <c r="O69" s="48"/>
      <c r="P69" s="48"/>
      <c r="Q69" s="48"/>
      <c r="R69" s="48"/>
    </row>
    <row r="70" customFormat="false" ht="14.25" hidden="false" customHeight="true" outlineLevel="0" collapsed="false">
      <c r="A70" s="54" t="s">
        <v>94</v>
      </c>
      <c r="B70" s="3" t="n">
        <f aca="false">SUM(B14:B69)</f>
        <v>11</v>
      </c>
      <c r="C70" s="3" t="n">
        <f aca="false">SUM(C14:C69)</f>
        <v>3</v>
      </c>
      <c r="D70" s="3" t="n">
        <f aca="false">SUM(D14:D69)</f>
        <v>137</v>
      </c>
      <c r="E70" s="3" t="n">
        <f aca="false">SUM(E14:E69)</f>
        <v>0</v>
      </c>
      <c r="F70" s="3" t="n">
        <f aca="false">SUM(F14:F69)</f>
        <v>0</v>
      </c>
      <c r="G70" s="3" t="n">
        <f aca="false">SUM(G14:G69)</f>
        <v>0</v>
      </c>
      <c r="H70" s="3" t="n">
        <f aca="false">SUM(H14:H69)</f>
        <v>0</v>
      </c>
      <c r="I70" s="3" t="n">
        <f aca="false">SUM(I14:I69)</f>
        <v>3</v>
      </c>
      <c r="J70" s="3" t="n">
        <f aca="false">SUM(J14:J69)</f>
        <v>150</v>
      </c>
      <c r="K70" s="3"/>
      <c r="L70" s="3"/>
      <c r="M70" s="3"/>
      <c r="N70" s="2"/>
      <c r="O70" s="2"/>
      <c r="P70" s="2"/>
      <c r="Q70" s="2"/>
      <c r="R70" s="2"/>
    </row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3">
    <mergeCell ref="A3:M3"/>
    <mergeCell ref="A4:M4"/>
    <mergeCell ref="K6:M6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14.48"/>
    <col collapsed="false" customWidth="true" hidden="false" outlineLevel="0" max="9" min="2" style="1" width="6.94"/>
    <col collapsed="false" customWidth="true" hidden="false" outlineLevel="0" max="13" min="10" style="1" width="7.5"/>
    <col collapsed="false" customWidth="true" hidden="false" outlineLevel="0" max="31" min="14" style="1" width="13.28"/>
    <col collapsed="false" customWidth="true" hidden="false" outlineLevel="0" max="257" min="32" style="1" width="15.97"/>
  </cols>
  <sheetData>
    <row r="1" customFormat="false" ht="14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2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9.35" hidden="false" customHeight="true" outlineLevel="0" collapsed="false">
      <c r="A3" s="17" t="s">
        <v>0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7" hidden="false" customHeight="true" outlineLevel="0" collapsed="false">
      <c r="A4" s="18" t="s">
        <v>12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4.25" hidden="false" customHeight="true" outlineLevel="0" collapsed="false">
      <c r="A5" s="19" t="s">
        <v>6</v>
      </c>
      <c r="B5" s="20"/>
      <c r="C5" s="21"/>
      <c r="D5" s="22"/>
      <c r="E5" s="22"/>
      <c r="F5" s="20"/>
      <c r="G5" s="23"/>
      <c r="H5" s="23"/>
      <c r="I5" s="21"/>
      <c r="J5" s="22" t="s">
        <v>3</v>
      </c>
      <c r="K5" s="20" t="n">
        <v>0</v>
      </c>
      <c r="L5" s="24"/>
      <c r="M5" s="25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20" hidden="false" customHeight="false" outlineLevel="0" collapsed="false">
      <c r="A6" s="26" t="n">
        <f aca="false">'Deckbl.'!I11</f>
        <v>45036</v>
      </c>
      <c r="B6" s="3"/>
      <c r="C6" s="2"/>
      <c r="D6" s="2"/>
      <c r="E6" s="3"/>
      <c r="F6" s="3"/>
      <c r="G6" s="3"/>
      <c r="H6" s="3"/>
      <c r="I6" s="2"/>
      <c r="J6" s="7" t="s">
        <v>9</v>
      </c>
      <c r="K6" s="27" t="str">
        <f aca="false">'Deckbl.'!I12</f>
        <v>morgens leichter Regen, dann Sonne, 5-17°</v>
      </c>
      <c r="L6" s="27"/>
      <c r="M6" s="2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4.25" hidden="false" customHeight="true" outlineLevel="0" collapsed="false">
      <c r="A7" s="28"/>
      <c r="B7" s="7" t="s">
        <v>13</v>
      </c>
      <c r="C7" s="29" t="str">
        <f aca="false">'Deckbl.'!C8</f>
        <v>Sandleiten / Schulstraße / Parkstraße (Pregarten)</v>
      </c>
      <c r="D7" s="30"/>
      <c r="E7" s="31"/>
      <c r="F7" s="31"/>
      <c r="G7" s="31"/>
      <c r="H7" s="31"/>
      <c r="I7" s="32"/>
      <c r="J7" s="29"/>
      <c r="K7" s="31"/>
      <c r="L7" s="31"/>
      <c r="M7" s="33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4.25" hidden="false" customHeight="true" outlineLevel="0" collapsed="false">
      <c r="A8" s="28"/>
      <c r="B8" s="7" t="s">
        <v>14</v>
      </c>
      <c r="C8" s="30"/>
      <c r="D8" s="30"/>
      <c r="E8" s="31"/>
      <c r="F8" s="31"/>
      <c r="G8" s="31"/>
      <c r="H8" s="31"/>
      <c r="I8" s="32" t="s">
        <v>7</v>
      </c>
      <c r="J8" s="29" t="s">
        <v>8</v>
      </c>
      <c r="K8" s="34"/>
      <c r="L8" s="31"/>
      <c r="M8" s="33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4.25" hidden="false" customHeight="true" outlineLevel="0" collapsed="false">
      <c r="A9" s="28"/>
      <c r="B9" s="7" t="s">
        <v>15</v>
      </c>
      <c r="C9" s="35" t="s">
        <v>97</v>
      </c>
      <c r="D9" s="4"/>
      <c r="E9" s="3"/>
      <c r="F9" s="3"/>
      <c r="G9" s="3"/>
      <c r="H9" s="3"/>
      <c r="I9" s="7" t="s">
        <v>17</v>
      </c>
      <c r="J9" s="29" t="str">
        <f aca="false">'Deckbl.'!C11</f>
        <v>6-20</v>
      </c>
      <c r="K9" s="31"/>
      <c r="L9" s="31"/>
      <c r="M9" s="33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4.25" hidden="false" customHeight="true" outlineLevel="0" collapsed="false">
      <c r="A10" s="28"/>
      <c r="B10" s="32" t="s">
        <v>18</v>
      </c>
      <c r="C10" s="36"/>
      <c r="D10" s="30"/>
      <c r="E10" s="31"/>
      <c r="F10" s="31"/>
      <c r="G10" s="31"/>
      <c r="H10" s="31"/>
      <c r="I10" s="32" t="s">
        <v>19</v>
      </c>
      <c r="J10" s="29"/>
      <c r="K10" s="31"/>
      <c r="L10" s="29"/>
      <c r="M10" s="33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4.25" hidden="false" customHeight="true" outlineLevel="0" collapsed="false">
      <c r="A11" s="37" t="s">
        <v>20</v>
      </c>
      <c r="B11" s="38" t="n">
        <v>0.5</v>
      </c>
      <c r="C11" s="38" t="n">
        <v>1</v>
      </c>
      <c r="D11" s="38" t="n">
        <f aca="false">'Faktoren PKW-E'!B16</f>
        <v>1</v>
      </c>
      <c r="E11" s="38" t="n">
        <v>1.5</v>
      </c>
      <c r="F11" s="38" t="n">
        <v>1.5</v>
      </c>
      <c r="G11" s="38" t="n">
        <v>1.5</v>
      </c>
      <c r="H11" s="38" t="n">
        <v>2</v>
      </c>
      <c r="I11" s="38" t="n">
        <v>1.5</v>
      </c>
      <c r="J11" s="39"/>
      <c r="K11" s="39"/>
      <c r="L11" s="39"/>
      <c r="M11" s="39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4.25" hidden="false" customHeight="true" outlineLevel="0" collapsed="false">
      <c r="A12" s="40"/>
      <c r="B12" s="19"/>
      <c r="C12" s="41" t="s">
        <v>21</v>
      </c>
      <c r="D12" s="19" t="s">
        <v>22</v>
      </c>
      <c r="E12" s="41" t="s">
        <v>23</v>
      </c>
      <c r="F12" s="41" t="s">
        <v>24</v>
      </c>
      <c r="G12" s="41"/>
      <c r="H12" s="41" t="s">
        <v>25</v>
      </c>
      <c r="I12" s="41" t="s">
        <v>26</v>
      </c>
      <c r="J12" s="42" t="s">
        <v>27</v>
      </c>
      <c r="K12" s="42" t="s">
        <v>27</v>
      </c>
      <c r="L12" s="42" t="s">
        <v>27</v>
      </c>
      <c r="M12" s="42" t="s">
        <v>28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4.25" hidden="false" customHeight="true" outlineLevel="0" collapsed="false">
      <c r="A13" s="43" t="s">
        <v>29</v>
      </c>
      <c r="B13" s="41" t="s">
        <v>30</v>
      </c>
      <c r="C13" s="41" t="s">
        <v>28</v>
      </c>
      <c r="D13" s="41" t="s">
        <v>31</v>
      </c>
      <c r="E13" s="41" t="s">
        <v>32</v>
      </c>
      <c r="F13" s="41" t="s">
        <v>32</v>
      </c>
      <c r="G13" s="41" t="s">
        <v>33</v>
      </c>
      <c r="H13" s="41" t="s">
        <v>34</v>
      </c>
      <c r="I13" s="41" t="s">
        <v>28</v>
      </c>
      <c r="J13" s="42" t="s">
        <v>35</v>
      </c>
      <c r="K13" s="42" t="s">
        <v>36</v>
      </c>
      <c r="L13" s="42" t="s">
        <v>37</v>
      </c>
      <c r="M13" s="42" t="s">
        <v>37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4.25" hidden="false" customHeight="true" outlineLevel="0" collapsed="false">
      <c r="A14" s="44" t="s">
        <v>38</v>
      </c>
      <c r="B14" s="45" t="n">
        <v>0</v>
      </c>
      <c r="C14" s="45" t="n">
        <v>0</v>
      </c>
      <c r="D14" s="45" t="n">
        <v>3</v>
      </c>
      <c r="E14" s="45" t="n">
        <v>0</v>
      </c>
      <c r="F14" s="45" t="n">
        <v>0</v>
      </c>
      <c r="G14" s="45" t="n">
        <v>0</v>
      </c>
      <c r="H14" s="45" t="n">
        <v>0</v>
      </c>
      <c r="I14" s="45" t="n">
        <v>0</v>
      </c>
      <c r="J14" s="46" t="n">
        <f aca="false">SUMPRODUCT(B14:I14,$B$11:$I$11)</f>
        <v>3</v>
      </c>
      <c r="K14" s="47"/>
      <c r="L14" s="47"/>
      <c r="M14" s="47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 customFormat="false" ht="14.25" hidden="false" customHeight="true" outlineLevel="0" collapsed="false">
      <c r="A15" s="44" t="s">
        <v>39</v>
      </c>
      <c r="B15" s="45" t="n">
        <v>0</v>
      </c>
      <c r="C15" s="45" t="n">
        <v>0</v>
      </c>
      <c r="D15" s="45" t="n">
        <v>2</v>
      </c>
      <c r="E15" s="45" t="n">
        <v>0</v>
      </c>
      <c r="F15" s="45" t="n">
        <v>0</v>
      </c>
      <c r="G15" s="45" t="n">
        <v>0</v>
      </c>
      <c r="H15" s="45" t="n">
        <v>0</v>
      </c>
      <c r="I15" s="45" t="n">
        <v>0</v>
      </c>
      <c r="J15" s="46" t="n">
        <f aca="false">SUMPRODUCT(B15:I15,$B$11:$I$11)</f>
        <v>2</v>
      </c>
      <c r="K15" s="50" t="n">
        <f aca="false">J15+J14</f>
        <v>5</v>
      </c>
      <c r="L15" s="51"/>
      <c r="M15" s="51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customFormat="false" ht="14.25" hidden="false" customHeight="true" outlineLevel="0" collapsed="false">
      <c r="A16" s="44" t="s">
        <v>40</v>
      </c>
      <c r="B16" s="45" t="n">
        <v>0</v>
      </c>
      <c r="C16" s="45" t="n">
        <v>0</v>
      </c>
      <c r="D16" s="45" t="n">
        <v>7</v>
      </c>
      <c r="E16" s="45" t="n">
        <v>0</v>
      </c>
      <c r="F16" s="45" t="n">
        <v>0</v>
      </c>
      <c r="G16" s="45" t="n">
        <v>1</v>
      </c>
      <c r="H16" s="45" t="n">
        <v>0</v>
      </c>
      <c r="I16" s="45" t="n">
        <v>0</v>
      </c>
      <c r="J16" s="46" t="n">
        <f aca="false">SUMPRODUCT(B16:I16,$B$11:$I$11)</f>
        <v>8.5</v>
      </c>
      <c r="K16" s="47"/>
      <c r="L16" s="50"/>
      <c r="M16" s="50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 customFormat="false" ht="14.25" hidden="false" customHeight="true" outlineLevel="0" collapsed="false">
      <c r="A17" s="44" t="s">
        <v>41</v>
      </c>
      <c r="B17" s="45" t="n">
        <v>1</v>
      </c>
      <c r="C17" s="45" t="n">
        <v>0</v>
      </c>
      <c r="D17" s="45" t="n">
        <v>7</v>
      </c>
      <c r="E17" s="45" t="n">
        <v>0</v>
      </c>
      <c r="F17" s="45" t="n">
        <v>0</v>
      </c>
      <c r="G17" s="45" t="n">
        <v>0</v>
      </c>
      <c r="H17" s="45" t="n">
        <v>0</v>
      </c>
      <c r="I17" s="45" t="n">
        <v>0</v>
      </c>
      <c r="J17" s="46" t="n">
        <f aca="false">SUMPRODUCT(B17:I17,$B$11:$I$11)</f>
        <v>7.5</v>
      </c>
      <c r="K17" s="50" t="n">
        <f aca="false">J17+J16</f>
        <v>16</v>
      </c>
      <c r="L17" s="50" t="n">
        <f aca="false">SUM(J14:J17)</f>
        <v>21</v>
      </c>
      <c r="M17" s="50" t="n">
        <f aca="false">SUM(C14:I17)</f>
        <v>20</v>
      </c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 customFormat="false" ht="14.25" hidden="false" customHeight="true" outlineLevel="0" collapsed="false">
      <c r="A18" s="44" t="s">
        <v>42</v>
      </c>
      <c r="B18" s="45" t="n">
        <v>0</v>
      </c>
      <c r="C18" s="45" t="n">
        <v>0</v>
      </c>
      <c r="D18" s="45" t="n">
        <v>12</v>
      </c>
      <c r="E18" s="45" t="n">
        <v>0</v>
      </c>
      <c r="F18" s="45" t="n">
        <v>0</v>
      </c>
      <c r="G18" s="45" t="n">
        <v>0</v>
      </c>
      <c r="H18" s="45" t="n">
        <v>0</v>
      </c>
      <c r="I18" s="45" t="n">
        <v>0</v>
      </c>
      <c r="J18" s="46" t="n">
        <f aca="false">SUMPRODUCT(B18:I18,$B$11:$I$11)</f>
        <v>12</v>
      </c>
      <c r="K18" s="47"/>
      <c r="L18" s="47"/>
      <c r="M18" s="47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 customFormat="false" ht="14.25" hidden="false" customHeight="true" outlineLevel="0" collapsed="false">
      <c r="A19" s="44" t="s">
        <v>43</v>
      </c>
      <c r="B19" s="45" t="n">
        <v>0</v>
      </c>
      <c r="C19" s="45" t="n">
        <v>0</v>
      </c>
      <c r="D19" s="45" t="n">
        <v>22</v>
      </c>
      <c r="E19" s="45" t="n">
        <v>0</v>
      </c>
      <c r="F19" s="45" t="n">
        <v>0</v>
      </c>
      <c r="G19" s="45" t="n">
        <v>0</v>
      </c>
      <c r="H19" s="45" t="n">
        <v>0</v>
      </c>
      <c r="I19" s="45" t="n">
        <v>0</v>
      </c>
      <c r="J19" s="46" t="n">
        <f aca="false">SUMPRODUCT(B19:I19,$B$11:$I$11)</f>
        <v>22</v>
      </c>
      <c r="K19" s="50" t="n">
        <f aca="false">J19+J18</f>
        <v>34</v>
      </c>
      <c r="L19" s="51"/>
      <c r="M19" s="51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 customFormat="false" ht="14.25" hidden="false" customHeight="true" outlineLevel="0" collapsed="false">
      <c r="A20" s="44" t="s">
        <v>44</v>
      </c>
      <c r="B20" s="45" t="n">
        <v>0</v>
      </c>
      <c r="C20" s="45" t="n">
        <v>0</v>
      </c>
      <c r="D20" s="45" t="n">
        <v>46</v>
      </c>
      <c r="E20" s="45" t="n">
        <v>0</v>
      </c>
      <c r="F20" s="45" t="n">
        <v>1</v>
      </c>
      <c r="G20" s="45" t="n">
        <v>0</v>
      </c>
      <c r="H20" s="45" t="n">
        <v>0</v>
      </c>
      <c r="I20" s="45" t="n">
        <v>0</v>
      </c>
      <c r="J20" s="46" t="n">
        <f aca="false">SUMPRODUCT(B20:I20,$B$11:$I$11)</f>
        <v>47.5</v>
      </c>
      <c r="K20" s="47"/>
      <c r="L20" s="50"/>
      <c r="M20" s="50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 customFormat="false" ht="14.25" hidden="false" customHeight="true" outlineLevel="0" collapsed="false">
      <c r="A21" s="44" t="s">
        <v>45</v>
      </c>
      <c r="B21" s="45" t="n">
        <v>0</v>
      </c>
      <c r="C21" s="45" t="n">
        <v>0</v>
      </c>
      <c r="D21" s="45" t="n">
        <v>18</v>
      </c>
      <c r="E21" s="45" t="n">
        <v>0</v>
      </c>
      <c r="F21" s="45" t="n">
        <v>0</v>
      </c>
      <c r="G21" s="45" t="n">
        <v>0</v>
      </c>
      <c r="H21" s="45" t="n">
        <v>0</v>
      </c>
      <c r="I21" s="45" t="n">
        <v>0</v>
      </c>
      <c r="J21" s="46" t="n">
        <f aca="false">SUMPRODUCT(B21:I21,$B$11:$I$11)</f>
        <v>18</v>
      </c>
      <c r="K21" s="50" t="n">
        <f aca="false">J21+J20</f>
        <v>65.5</v>
      </c>
      <c r="L21" s="50" t="n">
        <f aca="false">SUM(J18:J21)</f>
        <v>99.5</v>
      </c>
      <c r="M21" s="50" t="n">
        <f aca="false">SUM(C18:I21)</f>
        <v>99</v>
      </c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 customFormat="false" ht="14.25" hidden="false" customHeight="true" outlineLevel="0" collapsed="false">
      <c r="A22" s="44" t="s">
        <v>46</v>
      </c>
      <c r="B22" s="45" t="n">
        <v>0</v>
      </c>
      <c r="C22" s="45" t="n">
        <v>0</v>
      </c>
      <c r="D22" s="45" t="n">
        <v>8</v>
      </c>
      <c r="E22" s="45" t="n">
        <v>0</v>
      </c>
      <c r="F22" s="45" t="n">
        <v>0</v>
      </c>
      <c r="G22" s="45" t="n">
        <v>0</v>
      </c>
      <c r="H22" s="45" t="n">
        <v>0</v>
      </c>
      <c r="I22" s="45" t="n">
        <v>0</v>
      </c>
      <c r="J22" s="46" t="n">
        <f aca="false">SUMPRODUCT(B22:I22,$B$11:$I$11)</f>
        <v>8</v>
      </c>
      <c r="K22" s="47"/>
      <c r="L22" s="47"/>
      <c r="M22" s="47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 customFormat="false" ht="14.25" hidden="false" customHeight="true" outlineLevel="0" collapsed="false">
      <c r="A23" s="44" t="s">
        <v>47</v>
      </c>
      <c r="B23" s="45" t="n">
        <v>0</v>
      </c>
      <c r="C23" s="45" t="n">
        <v>0</v>
      </c>
      <c r="D23" s="45" t="n">
        <v>9</v>
      </c>
      <c r="E23" s="45" t="n">
        <v>0</v>
      </c>
      <c r="F23" s="45" t="n">
        <v>0</v>
      </c>
      <c r="G23" s="45" t="n">
        <v>0</v>
      </c>
      <c r="H23" s="45" t="n">
        <v>0</v>
      </c>
      <c r="I23" s="45" t="n">
        <v>0</v>
      </c>
      <c r="J23" s="46" t="n">
        <f aca="false">SUMPRODUCT(B23:I23,$B$11:$I$11)</f>
        <v>9</v>
      </c>
      <c r="K23" s="50" t="n">
        <f aca="false">J23+J22</f>
        <v>17</v>
      </c>
      <c r="L23" s="51"/>
      <c r="M23" s="51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 customFormat="false" ht="14.25" hidden="false" customHeight="true" outlineLevel="0" collapsed="false">
      <c r="A24" s="44" t="s">
        <v>48</v>
      </c>
      <c r="B24" s="45" t="n">
        <v>1</v>
      </c>
      <c r="C24" s="45" t="n">
        <v>0</v>
      </c>
      <c r="D24" s="45" t="n">
        <v>3</v>
      </c>
      <c r="E24" s="45" t="n">
        <v>0</v>
      </c>
      <c r="F24" s="45" t="n">
        <v>0</v>
      </c>
      <c r="G24" s="45" t="n">
        <v>0</v>
      </c>
      <c r="H24" s="45" t="n">
        <v>0</v>
      </c>
      <c r="I24" s="45" t="n">
        <v>0</v>
      </c>
      <c r="J24" s="46" t="n">
        <f aca="false">SUMPRODUCT(B24:I24,$B$11:$I$11)</f>
        <v>3.5</v>
      </c>
      <c r="K24" s="47"/>
      <c r="L24" s="50"/>
      <c r="M24" s="50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 customFormat="false" ht="14.25" hidden="false" customHeight="true" outlineLevel="0" collapsed="false">
      <c r="A25" s="44" t="s">
        <v>49</v>
      </c>
      <c r="B25" s="45" t="n">
        <v>0</v>
      </c>
      <c r="C25" s="45" t="n">
        <v>0</v>
      </c>
      <c r="D25" s="45" t="n">
        <v>11</v>
      </c>
      <c r="E25" s="45" t="n">
        <v>0</v>
      </c>
      <c r="F25" s="45" t="n">
        <v>0</v>
      </c>
      <c r="G25" s="45" t="n">
        <v>0</v>
      </c>
      <c r="H25" s="45" t="n">
        <v>0</v>
      </c>
      <c r="I25" s="45" t="n">
        <v>0</v>
      </c>
      <c r="J25" s="46" t="n">
        <f aca="false">SUMPRODUCT(B25:I25,$B$11:$I$11)</f>
        <v>11</v>
      </c>
      <c r="K25" s="50" t="n">
        <f aca="false">J25+J24</f>
        <v>14.5</v>
      </c>
      <c r="L25" s="50" t="n">
        <f aca="false">SUM(J22:J25)</f>
        <v>31.5</v>
      </c>
      <c r="M25" s="50" t="n">
        <f aca="false">SUM(C22:I25)</f>
        <v>31</v>
      </c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 customFormat="false" ht="14.25" hidden="false" customHeight="true" outlineLevel="0" collapsed="false">
      <c r="A26" s="44" t="s">
        <v>50</v>
      </c>
      <c r="B26" s="45" t="n">
        <v>0</v>
      </c>
      <c r="C26" s="45" t="n">
        <v>0</v>
      </c>
      <c r="D26" s="45" t="n">
        <v>6</v>
      </c>
      <c r="E26" s="45" t="n">
        <v>0</v>
      </c>
      <c r="F26" s="45" t="n">
        <v>0</v>
      </c>
      <c r="G26" s="45" t="n">
        <v>0</v>
      </c>
      <c r="H26" s="45" t="n">
        <v>0</v>
      </c>
      <c r="I26" s="45" t="n">
        <v>0</v>
      </c>
      <c r="J26" s="46" t="n">
        <f aca="false">SUMPRODUCT(B26:I26,$B$11:$I$11)</f>
        <v>6</v>
      </c>
      <c r="K26" s="47"/>
      <c r="L26" s="47"/>
      <c r="M26" s="47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 customFormat="false" ht="14.25" hidden="false" customHeight="true" outlineLevel="0" collapsed="false">
      <c r="A27" s="44" t="s">
        <v>51</v>
      </c>
      <c r="B27" s="45" t="n">
        <v>0</v>
      </c>
      <c r="C27" s="45" t="n">
        <v>0</v>
      </c>
      <c r="D27" s="45" t="n">
        <v>10</v>
      </c>
      <c r="E27" s="45" t="n">
        <v>0</v>
      </c>
      <c r="F27" s="45" t="n">
        <v>0</v>
      </c>
      <c r="G27" s="45" t="n">
        <v>0</v>
      </c>
      <c r="H27" s="45" t="n">
        <v>0</v>
      </c>
      <c r="I27" s="45" t="n">
        <v>0</v>
      </c>
      <c r="J27" s="46" t="n">
        <f aca="false">SUMPRODUCT(B27:I27,$B$11:$I$11)</f>
        <v>10</v>
      </c>
      <c r="K27" s="50" t="n">
        <f aca="false">J27+J26</f>
        <v>16</v>
      </c>
      <c r="L27" s="51"/>
      <c r="M27" s="51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 customFormat="false" ht="14.25" hidden="false" customHeight="true" outlineLevel="0" collapsed="false">
      <c r="A28" s="44" t="s">
        <v>52</v>
      </c>
      <c r="B28" s="45" t="n">
        <v>0</v>
      </c>
      <c r="C28" s="45" t="n">
        <v>0</v>
      </c>
      <c r="D28" s="45" t="n">
        <v>6</v>
      </c>
      <c r="E28" s="45" t="n">
        <v>0</v>
      </c>
      <c r="F28" s="45" t="n">
        <v>0</v>
      </c>
      <c r="G28" s="45" t="n">
        <v>0</v>
      </c>
      <c r="H28" s="45" t="n">
        <v>0</v>
      </c>
      <c r="I28" s="45" t="n">
        <v>0</v>
      </c>
      <c r="J28" s="46" t="n">
        <f aca="false">SUMPRODUCT(B28:I28,$B$11:$I$11)</f>
        <v>6</v>
      </c>
      <c r="K28" s="47"/>
      <c r="L28" s="50"/>
      <c r="M28" s="50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 customFormat="false" ht="14.25" hidden="false" customHeight="true" outlineLevel="0" collapsed="false">
      <c r="A29" s="44" t="s">
        <v>53</v>
      </c>
      <c r="B29" s="45" t="n">
        <v>0</v>
      </c>
      <c r="C29" s="45" t="n">
        <v>0</v>
      </c>
      <c r="D29" s="45" t="n">
        <v>5</v>
      </c>
      <c r="E29" s="45" t="n">
        <v>0</v>
      </c>
      <c r="F29" s="45" t="n">
        <v>0</v>
      </c>
      <c r="G29" s="45" t="n">
        <v>0</v>
      </c>
      <c r="H29" s="45" t="n">
        <v>0</v>
      </c>
      <c r="I29" s="45" t="n">
        <v>0</v>
      </c>
      <c r="J29" s="46" t="n">
        <f aca="false">SUMPRODUCT(B29:I29,$B$11:$I$11)</f>
        <v>5</v>
      </c>
      <c r="K29" s="50" t="n">
        <f aca="false">J29+J28</f>
        <v>11</v>
      </c>
      <c r="L29" s="50" t="n">
        <f aca="false">SUM(J26:J29)</f>
        <v>27</v>
      </c>
      <c r="M29" s="50" t="n">
        <f aca="false">SUM(C26:I29)</f>
        <v>27</v>
      </c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 customFormat="false" ht="14.25" hidden="false" customHeight="true" outlineLevel="0" collapsed="false">
      <c r="A30" s="44" t="s">
        <v>54</v>
      </c>
      <c r="B30" s="45" t="n">
        <v>0</v>
      </c>
      <c r="C30" s="45" t="n">
        <v>0</v>
      </c>
      <c r="D30" s="45" t="n">
        <v>2</v>
      </c>
      <c r="E30" s="45" t="n">
        <v>0</v>
      </c>
      <c r="F30" s="45" t="n">
        <v>0</v>
      </c>
      <c r="G30" s="45" t="n">
        <v>0</v>
      </c>
      <c r="H30" s="45" t="n">
        <v>0</v>
      </c>
      <c r="I30" s="45" t="n">
        <v>0</v>
      </c>
      <c r="J30" s="46" t="n">
        <f aca="false">SUMPRODUCT(B30:I30,$B$11:$I$11)</f>
        <v>2</v>
      </c>
      <c r="K30" s="47"/>
      <c r="L30" s="47"/>
      <c r="M30" s="47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 customFormat="false" ht="14.25" hidden="false" customHeight="true" outlineLevel="0" collapsed="false">
      <c r="A31" s="44" t="s">
        <v>55</v>
      </c>
      <c r="B31" s="45" t="n">
        <v>0</v>
      </c>
      <c r="C31" s="45" t="n">
        <v>0</v>
      </c>
      <c r="D31" s="45" t="n">
        <v>11</v>
      </c>
      <c r="E31" s="45" t="n">
        <v>0</v>
      </c>
      <c r="F31" s="45" t="n">
        <v>0</v>
      </c>
      <c r="G31" s="45" t="n">
        <v>0</v>
      </c>
      <c r="H31" s="45" t="n">
        <v>0</v>
      </c>
      <c r="I31" s="45" t="n">
        <v>0</v>
      </c>
      <c r="J31" s="46" t="n">
        <f aca="false">SUMPRODUCT(B31:I31,$B$11:$I$11)</f>
        <v>11</v>
      </c>
      <c r="K31" s="50" t="n">
        <f aca="false">J31+J30</f>
        <v>13</v>
      </c>
      <c r="L31" s="51"/>
      <c r="M31" s="51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 customFormat="false" ht="14.25" hidden="false" customHeight="true" outlineLevel="0" collapsed="false">
      <c r="A32" s="44" t="s">
        <v>56</v>
      </c>
      <c r="B32" s="45" t="n">
        <v>0</v>
      </c>
      <c r="C32" s="45" t="n">
        <v>0</v>
      </c>
      <c r="D32" s="45" t="n">
        <v>7</v>
      </c>
      <c r="E32" s="45" t="n">
        <v>0</v>
      </c>
      <c r="F32" s="45" t="n">
        <v>0</v>
      </c>
      <c r="G32" s="45" t="n">
        <v>0</v>
      </c>
      <c r="H32" s="45" t="n">
        <v>0</v>
      </c>
      <c r="I32" s="45" t="n">
        <v>0</v>
      </c>
      <c r="J32" s="46" t="n">
        <f aca="false">SUMPRODUCT(B32:I32,$B$11:$I$11)</f>
        <v>7</v>
      </c>
      <c r="K32" s="47"/>
      <c r="L32" s="50"/>
      <c r="M32" s="50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 customFormat="false" ht="14.25" hidden="false" customHeight="true" outlineLevel="0" collapsed="false">
      <c r="A33" s="44" t="s">
        <v>57</v>
      </c>
      <c r="B33" s="45" t="n">
        <v>1</v>
      </c>
      <c r="C33" s="45" t="n">
        <v>0</v>
      </c>
      <c r="D33" s="45" t="n">
        <v>2</v>
      </c>
      <c r="E33" s="45" t="n">
        <v>0</v>
      </c>
      <c r="F33" s="45" t="n">
        <v>0</v>
      </c>
      <c r="G33" s="45" t="n">
        <v>0</v>
      </c>
      <c r="H33" s="45" t="n">
        <v>0</v>
      </c>
      <c r="I33" s="45" t="n">
        <v>0</v>
      </c>
      <c r="J33" s="46" t="n">
        <f aca="false">SUMPRODUCT(B33:I33,$B$11:$I$11)</f>
        <v>2.5</v>
      </c>
      <c r="K33" s="50" t="n">
        <f aca="false">J33+J32</f>
        <v>9.5</v>
      </c>
      <c r="L33" s="50" t="n">
        <f aca="false">SUM(J30:J33)</f>
        <v>22.5</v>
      </c>
      <c r="M33" s="50" t="n">
        <f aca="false">SUM(C30:I33)</f>
        <v>22</v>
      </c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 customFormat="false" ht="14.25" hidden="false" customHeight="true" outlineLevel="0" collapsed="false">
      <c r="A34" s="44" t="s">
        <v>58</v>
      </c>
      <c r="B34" s="45" t="n">
        <v>0</v>
      </c>
      <c r="C34" s="45" t="n">
        <v>0</v>
      </c>
      <c r="D34" s="45" t="n">
        <v>12</v>
      </c>
      <c r="E34" s="45" t="n">
        <v>0</v>
      </c>
      <c r="F34" s="45" t="n">
        <v>0</v>
      </c>
      <c r="G34" s="45" t="n">
        <v>0</v>
      </c>
      <c r="H34" s="45" t="n">
        <v>0</v>
      </c>
      <c r="I34" s="45" t="n">
        <v>0</v>
      </c>
      <c r="J34" s="46" t="n">
        <f aca="false">SUMPRODUCT(B34:I34,$B$11:$I$11)</f>
        <v>12</v>
      </c>
      <c r="K34" s="47"/>
      <c r="L34" s="47"/>
      <c r="M34" s="47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 customFormat="false" ht="14.25" hidden="false" customHeight="true" outlineLevel="0" collapsed="false">
      <c r="A35" s="44" t="s">
        <v>59</v>
      </c>
      <c r="B35" s="45" t="n">
        <v>0</v>
      </c>
      <c r="C35" s="45" t="n">
        <v>0</v>
      </c>
      <c r="D35" s="45" t="n">
        <v>22</v>
      </c>
      <c r="E35" s="45" t="n">
        <v>0</v>
      </c>
      <c r="F35" s="45" t="n">
        <v>0</v>
      </c>
      <c r="G35" s="45" t="n">
        <v>0</v>
      </c>
      <c r="H35" s="45" t="n">
        <v>0</v>
      </c>
      <c r="I35" s="45" t="n">
        <v>0</v>
      </c>
      <c r="J35" s="46" t="n">
        <f aca="false">SUMPRODUCT(B35:I35,$B$11:$I$11)</f>
        <v>22</v>
      </c>
      <c r="K35" s="50" t="n">
        <f aca="false">J35+J34</f>
        <v>34</v>
      </c>
      <c r="L35" s="51"/>
      <c r="M35" s="51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 customFormat="false" ht="14.25" hidden="false" customHeight="true" outlineLevel="0" collapsed="false">
      <c r="A36" s="44" t="s">
        <v>60</v>
      </c>
      <c r="B36" s="45" t="n">
        <v>0</v>
      </c>
      <c r="C36" s="45" t="n">
        <v>0</v>
      </c>
      <c r="D36" s="45" t="n">
        <v>10</v>
      </c>
      <c r="E36" s="45" t="n">
        <v>0</v>
      </c>
      <c r="F36" s="45" t="n">
        <v>0</v>
      </c>
      <c r="G36" s="45" t="n">
        <v>0</v>
      </c>
      <c r="H36" s="45" t="n">
        <v>0</v>
      </c>
      <c r="I36" s="45" t="n">
        <v>0</v>
      </c>
      <c r="J36" s="46" t="n">
        <f aca="false">SUMPRODUCT(B36:I36,$B$11:$I$11)</f>
        <v>10</v>
      </c>
      <c r="K36" s="47"/>
      <c r="L36" s="50"/>
      <c r="M36" s="50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 customFormat="false" ht="14.25" hidden="false" customHeight="true" outlineLevel="0" collapsed="false">
      <c r="A37" s="44" t="s">
        <v>61</v>
      </c>
      <c r="B37" s="45" t="n">
        <v>1</v>
      </c>
      <c r="C37" s="45" t="n">
        <v>0</v>
      </c>
      <c r="D37" s="45" t="n">
        <v>15</v>
      </c>
      <c r="E37" s="45" t="n">
        <v>0</v>
      </c>
      <c r="F37" s="45" t="n">
        <v>0</v>
      </c>
      <c r="G37" s="45" t="n">
        <v>0</v>
      </c>
      <c r="H37" s="45" t="n">
        <v>0</v>
      </c>
      <c r="I37" s="45" t="n">
        <v>0</v>
      </c>
      <c r="J37" s="46" t="n">
        <f aca="false">SUMPRODUCT(B37:I37,$B$11:$I$11)</f>
        <v>15.5</v>
      </c>
      <c r="K37" s="50" t="n">
        <f aca="false">J37+J36</f>
        <v>25.5</v>
      </c>
      <c r="L37" s="50" t="n">
        <f aca="false">SUM(J34:J37)</f>
        <v>59.5</v>
      </c>
      <c r="M37" s="50" t="n">
        <f aca="false">SUM(C34:I37)</f>
        <v>59</v>
      </c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 customFormat="false" ht="14.25" hidden="false" customHeight="true" outlineLevel="0" collapsed="false">
      <c r="A38" s="44" t="s">
        <v>62</v>
      </c>
      <c r="B38" s="45" t="n">
        <v>1</v>
      </c>
      <c r="C38" s="45" t="n">
        <v>1</v>
      </c>
      <c r="D38" s="45" t="n">
        <v>6</v>
      </c>
      <c r="E38" s="45" t="n">
        <v>0</v>
      </c>
      <c r="F38" s="45" t="n">
        <v>0</v>
      </c>
      <c r="G38" s="45" t="n">
        <v>0</v>
      </c>
      <c r="H38" s="45" t="n">
        <v>0</v>
      </c>
      <c r="I38" s="45" t="n">
        <v>0</v>
      </c>
      <c r="J38" s="46" t="n">
        <f aca="false">SUMPRODUCT(B38:I38,$B$11:$I$11)</f>
        <v>7.5</v>
      </c>
      <c r="K38" s="47"/>
      <c r="L38" s="47"/>
      <c r="M38" s="47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 customFormat="false" ht="14.25" hidden="false" customHeight="true" outlineLevel="0" collapsed="false">
      <c r="A39" s="44" t="s">
        <v>63</v>
      </c>
      <c r="B39" s="45" t="n">
        <v>0</v>
      </c>
      <c r="C39" s="45" t="n">
        <v>0</v>
      </c>
      <c r="D39" s="45" t="n">
        <v>12</v>
      </c>
      <c r="E39" s="45" t="n">
        <v>0</v>
      </c>
      <c r="F39" s="45" t="n">
        <v>0</v>
      </c>
      <c r="G39" s="45" t="n">
        <v>0</v>
      </c>
      <c r="H39" s="45" t="n">
        <v>0</v>
      </c>
      <c r="I39" s="45" t="n">
        <v>0</v>
      </c>
      <c r="J39" s="46" t="n">
        <f aca="false">SUMPRODUCT(B39:I39,$B$11:$I$11)</f>
        <v>12</v>
      </c>
      <c r="K39" s="50" t="n">
        <f aca="false">J39+J38</f>
        <v>19.5</v>
      </c>
      <c r="L39" s="51"/>
      <c r="M39" s="51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 customFormat="false" ht="14.25" hidden="false" customHeight="true" outlineLevel="0" collapsed="false">
      <c r="A40" s="44" t="s">
        <v>64</v>
      </c>
      <c r="B40" s="45" t="n">
        <v>0</v>
      </c>
      <c r="C40" s="45" t="n">
        <v>0</v>
      </c>
      <c r="D40" s="45" t="n">
        <v>7</v>
      </c>
      <c r="E40" s="45" t="n">
        <v>0</v>
      </c>
      <c r="F40" s="45" t="n">
        <v>0</v>
      </c>
      <c r="G40" s="45" t="n">
        <v>0</v>
      </c>
      <c r="H40" s="45" t="n">
        <v>0</v>
      </c>
      <c r="I40" s="45" t="n">
        <v>0</v>
      </c>
      <c r="J40" s="46" t="n">
        <f aca="false">SUMPRODUCT(B40:I40,$B$11:$I$11)</f>
        <v>7</v>
      </c>
      <c r="K40" s="47"/>
      <c r="L40" s="50"/>
      <c r="M40" s="50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 customFormat="false" ht="14.25" hidden="false" customHeight="true" outlineLevel="0" collapsed="false">
      <c r="A41" s="44" t="s">
        <v>65</v>
      </c>
      <c r="B41" s="45" t="n">
        <v>1</v>
      </c>
      <c r="C41" s="45" t="n">
        <v>1</v>
      </c>
      <c r="D41" s="45" t="n">
        <v>9</v>
      </c>
      <c r="E41" s="45" t="n">
        <v>0</v>
      </c>
      <c r="F41" s="45" t="n">
        <v>0</v>
      </c>
      <c r="G41" s="45" t="n">
        <v>0</v>
      </c>
      <c r="H41" s="45" t="n">
        <v>0</v>
      </c>
      <c r="I41" s="45" t="n">
        <v>0</v>
      </c>
      <c r="J41" s="46" t="n">
        <f aca="false">SUMPRODUCT(B41:I41,$B$11:$I$11)</f>
        <v>10.5</v>
      </c>
      <c r="K41" s="50" t="n">
        <f aca="false">J41+J40</f>
        <v>17.5</v>
      </c>
      <c r="L41" s="50" t="n">
        <f aca="false">SUM(J38:J41)</f>
        <v>37</v>
      </c>
      <c r="M41" s="50" t="n">
        <f aca="false">SUM(C38:I41)</f>
        <v>36</v>
      </c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 customFormat="false" ht="14.25" hidden="false" customHeight="true" outlineLevel="0" collapsed="false">
      <c r="A42" s="44" t="s">
        <v>66</v>
      </c>
      <c r="B42" s="45" t="n">
        <v>0</v>
      </c>
      <c r="C42" s="45" t="n">
        <v>0</v>
      </c>
      <c r="D42" s="45" t="n">
        <v>9</v>
      </c>
      <c r="E42" s="45" t="n">
        <v>0</v>
      </c>
      <c r="F42" s="45" t="n">
        <v>0</v>
      </c>
      <c r="G42" s="45" t="n">
        <v>0</v>
      </c>
      <c r="H42" s="45" t="n">
        <v>0</v>
      </c>
      <c r="I42" s="45" t="n">
        <v>0</v>
      </c>
      <c r="J42" s="46" t="n">
        <f aca="false">SUMPRODUCT(B42:I42,$B$11:$I$11)</f>
        <v>9</v>
      </c>
      <c r="K42" s="47"/>
      <c r="L42" s="47"/>
      <c r="M42" s="47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 customFormat="false" ht="14.25" hidden="false" customHeight="true" outlineLevel="0" collapsed="false">
      <c r="A43" s="44" t="s">
        <v>67</v>
      </c>
      <c r="B43" s="45" t="n">
        <v>0</v>
      </c>
      <c r="C43" s="45" t="n">
        <v>0</v>
      </c>
      <c r="D43" s="45" t="n">
        <v>5</v>
      </c>
      <c r="E43" s="45" t="n">
        <v>0</v>
      </c>
      <c r="F43" s="45" t="n">
        <v>0</v>
      </c>
      <c r="G43" s="45" t="n">
        <v>0</v>
      </c>
      <c r="H43" s="45" t="n">
        <v>0</v>
      </c>
      <c r="I43" s="45" t="n">
        <v>0</v>
      </c>
      <c r="J43" s="46" t="n">
        <f aca="false">SUMPRODUCT(B43:I43,$B$11:$I$11)</f>
        <v>5</v>
      </c>
      <c r="K43" s="50" t="n">
        <f aca="false">J43+J42</f>
        <v>14</v>
      </c>
      <c r="L43" s="51"/>
      <c r="M43" s="51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customFormat="false" ht="14.25" hidden="false" customHeight="true" outlineLevel="0" collapsed="false">
      <c r="A44" s="44" t="s">
        <v>68</v>
      </c>
      <c r="B44" s="45" t="n">
        <v>0</v>
      </c>
      <c r="C44" s="45" t="n">
        <v>0</v>
      </c>
      <c r="D44" s="45" t="n">
        <v>9</v>
      </c>
      <c r="E44" s="45" t="n">
        <v>0</v>
      </c>
      <c r="F44" s="45" t="n">
        <v>0</v>
      </c>
      <c r="G44" s="45" t="n">
        <v>0</v>
      </c>
      <c r="H44" s="45" t="n">
        <v>0</v>
      </c>
      <c r="I44" s="45" t="n">
        <v>0</v>
      </c>
      <c r="J44" s="46" t="n">
        <f aca="false">SUMPRODUCT(B44:I44,$B$11:$I$11)</f>
        <v>9</v>
      </c>
      <c r="K44" s="47"/>
      <c r="L44" s="50"/>
      <c r="M44" s="50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customFormat="false" ht="14.25" hidden="false" customHeight="true" outlineLevel="0" collapsed="false">
      <c r="A45" s="44" t="s">
        <v>69</v>
      </c>
      <c r="B45" s="45" t="n">
        <v>0</v>
      </c>
      <c r="C45" s="45" t="n">
        <v>0</v>
      </c>
      <c r="D45" s="45" t="n">
        <v>11</v>
      </c>
      <c r="E45" s="45" t="n">
        <v>0</v>
      </c>
      <c r="F45" s="45" t="n">
        <v>0</v>
      </c>
      <c r="G45" s="45" t="n">
        <v>0</v>
      </c>
      <c r="H45" s="45" t="n">
        <v>0</v>
      </c>
      <c r="I45" s="45" t="n">
        <v>0</v>
      </c>
      <c r="J45" s="46" t="n">
        <f aca="false">SUMPRODUCT(B45:I45,$B$11:$I$11)</f>
        <v>11</v>
      </c>
      <c r="K45" s="50" t="n">
        <f aca="false">J45+J44</f>
        <v>20</v>
      </c>
      <c r="L45" s="50" t="n">
        <f aca="false">SUM(J42:J45)</f>
        <v>34</v>
      </c>
      <c r="M45" s="50" t="n">
        <f aca="false">SUM(C42:I45)</f>
        <v>34</v>
      </c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 customFormat="false" ht="14.25" hidden="false" customHeight="true" outlineLevel="0" collapsed="false">
      <c r="A46" s="44" t="s">
        <v>70</v>
      </c>
      <c r="B46" s="45" t="n">
        <v>0</v>
      </c>
      <c r="C46" s="45" t="n">
        <v>0</v>
      </c>
      <c r="D46" s="45" t="n">
        <v>7</v>
      </c>
      <c r="E46" s="45" t="n">
        <v>0</v>
      </c>
      <c r="F46" s="45" t="n">
        <v>0</v>
      </c>
      <c r="G46" s="45" t="n">
        <v>0</v>
      </c>
      <c r="H46" s="45" t="n">
        <v>0</v>
      </c>
      <c r="I46" s="45" t="n">
        <v>0</v>
      </c>
      <c r="J46" s="46" t="n">
        <f aca="false">SUMPRODUCT(B46:I46,$B$11:$I$11)</f>
        <v>7</v>
      </c>
      <c r="K46" s="47"/>
      <c r="L46" s="47"/>
      <c r="M46" s="47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customFormat="false" ht="14.25" hidden="false" customHeight="true" outlineLevel="0" collapsed="false">
      <c r="A47" s="44" t="s">
        <v>71</v>
      </c>
      <c r="B47" s="45" t="n">
        <v>0</v>
      </c>
      <c r="C47" s="45" t="n">
        <v>0</v>
      </c>
      <c r="D47" s="45" t="n">
        <v>12</v>
      </c>
      <c r="E47" s="45" t="n">
        <v>0</v>
      </c>
      <c r="F47" s="45" t="n">
        <v>0</v>
      </c>
      <c r="G47" s="45" t="n">
        <v>0</v>
      </c>
      <c r="H47" s="45" t="n">
        <v>0</v>
      </c>
      <c r="I47" s="45" t="n">
        <v>0</v>
      </c>
      <c r="J47" s="46" t="n">
        <f aca="false">SUMPRODUCT(B47:I47,$B$11:$I$11)</f>
        <v>12</v>
      </c>
      <c r="K47" s="50" t="n">
        <f aca="false">J47+J46</f>
        <v>19</v>
      </c>
      <c r="L47" s="51"/>
      <c r="M47" s="51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 customFormat="false" ht="14.25" hidden="false" customHeight="true" outlineLevel="0" collapsed="false">
      <c r="A48" s="44" t="s">
        <v>72</v>
      </c>
      <c r="B48" s="45" t="n">
        <v>0</v>
      </c>
      <c r="C48" s="45" t="n">
        <v>0</v>
      </c>
      <c r="D48" s="45" t="n">
        <v>12</v>
      </c>
      <c r="E48" s="45" t="n">
        <v>0</v>
      </c>
      <c r="F48" s="45" t="n">
        <v>0</v>
      </c>
      <c r="G48" s="45" t="n">
        <v>0</v>
      </c>
      <c r="H48" s="45" t="n">
        <v>0</v>
      </c>
      <c r="I48" s="45" t="n">
        <v>0</v>
      </c>
      <c r="J48" s="46" t="n">
        <f aca="false">SUMPRODUCT(B48:I48,$B$11:$I$11)</f>
        <v>12</v>
      </c>
      <c r="K48" s="47"/>
      <c r="L48" s="50"/>
      <c r="M48" s="50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 customFormat="false" ht="14.25" hidden="false" customHeight="true" outlineLevel="0" collapsed="false">
      <c r="A49" s="44" t="s">
        <v>73</v>
      </c>
      <c r="B49" s="45" t="n">
        <v>0</v>
      </c>
      <c r="C49" s="45" t="n">
        <v>0</v>
      </c>
      <c r="D49" s="45" t="n">
        <v>6</v>
      </c>
      <c r="E49" s="45" t="n">
        <v>0</v>
      </c>
      <c r="F49" s="45" t="n">
        <v>0</v>
      </c>
      <c r="G49" s="45" t="n">
        <v>0</v>
      </c>
      <c r="H49" s="45" t="n">
        <v>0</v>
      </c>
      <c r="I49" s="45" t="n">
        <v>0</v>
      </c>
      <c r="J49" s="46" t="n">
        <f aca="false">SUMPRODUCT(B49:I49,$B$11:$I$11)</f>
        <v>6</v>
      </c>
      <c r="K49" s="50" t="n">
        <f aca="false">J49+J48</f>
        <v>18</v>
      </c>
      <c r="L49" s="50" t="n">
        <f aca="false">SUM(J46:J49)</f>
        <v>37</v>
      </c>
      <c r="M49" s="50" t="n">
        <f aca="false">SUM(C46:I49)</f>
        <v>37</v>
      </c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 customFormat="false" ht="14.25" hidden="false" customHeight="true" outlineLevel="0" collapsed="false">
      <c r="A50" s="44" t="s">
        <v>74</v>
      </c>
      <c r="B50" s="45" t="n">
        <v>0</v>
      </c>
      <c r="C50" s="45" t="n">
        <v>0</v>
      </c>
      <c r="D50" s="45" t="n">
        <v>8</v>
      </c>
      <c r="E50" s="45" t="n">
        <v>0</v>
      </c>
      <c r="F50" s="45" t="n">
        <v>0</v>
      </c>
      <c r="G50" s="45" t="n">
        <v>0</v>
      </c>
      <c r="H50" s="45" t="n">
        <v>0</v>
      </c>
      <c r="I50" s="45" t="n">
        <v>0</v>
      </c>
      <c r="J50" s="46" t="n">
        <f aca="false">SUMPRODUCT(B50:I50,$B$11:$I$11)</f>
        <v>8</v>
      </c>
      <c r="K50" s="47"/>
      <c r="L50" s="47"/>
      <c r="M50" s="47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 customFormat="false" ht="14.25" hidden="false" customHeight="true" outlineLevel="0" collapsed="false">
      <c r="A51" s="44" t="s">
        <v>75</v>
      </c>
      <c r="B51" s="45" t="n">
        <v>0</v>
      </c>
      <c r="C51" s="45" t="n">
        <v>0</v>
      </c>
      <c r="D51" s="45" t="n">
        <v>11</v>
      </c>
      <c r="E51" s="45" t="n">
        <v>0</v>
      </c>
      <c r="F51" s="45" t="n">
        <v>0</v>
      </c>
      <c r="G51" s="45" t="n">
        <v>0</v>
      </c>
      <c r="H51" s="45" t="n">
        <v>0</v>
      </c>
      <c r="I51" s="45" t="n">
        <v>0</v>
      </c>
      <c r="J51" s="46" t="n">
        <f aca="false">SUMPRODUCT(B51:I51,$B$11:$I$11)</f>
        <v>11</v>
      </c>
      <c r="K51" s="50" t="n">
        <f aca="false">J51+J50</f>
        <v>19</v>
      </c>
      <c r="L51" s="51"/>
      <c r="M51" s="51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 customFormat="false" ht="14.25" hidden="false" customHeight="true" outlineLevel="0" collapsed="false">
      <c r="A52" s="44" t="s">
        <v>76</v>
      </c>
      <c r="B52" s="45" t="n">
        <v>0</v>
      </c>
      <c r="C52" s="45" t="n">
        <v>0</v>
      </c>
      <c r="D52" s="45" t="n">
        <v>8</v>
      </c>
      <c r="E52" s="45" t="n">
        <v>0</v>
      </c>
      <c r="F52" s="45" t="n">
        <v>0</v>
      </c>
      <c r="G52" s="45" t="n">
        <v>0</v>
      </c>
      <c r="H52" s="45" t="n">
        <v>0</v>
      </c>
      <c r="I52" s="45" t="n">
        <v>0</v>
      </c>
      <c r="J52" s="46" t="n">
        <f aca="false">SUMPRODUCT(B52:I52,$B$11:$I$11)</f>
        <v>8</v>
      </c>
      <c r="K52" s="47"/>
      <c r="L52" s="50"/>
      <c r="M52" s="50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 customFormat="false" ht="14.25" hidden="false" customHeight="true" outlineLevel="0" collapsed="false">
      <c r="A53" s="44" t="s">
        <v>77</v>
      </c>
      <c r="B53" s="45" t="n">
        <v>1</v>
      </c>
      <c r="C53" s="45" t="n">
        <v>1</v>
      </c>
      <c r="D53" s="45" t="n">
        <v>13</v>
      </c>
      <c r="E53" s="45" t="n">
        <v>0</v>
      </c>
      <c r="F53" s="45" t="n">
        <v>0</v>
      </c>
      <c r="G53" s="45" t="n">
        <v>0</v>
      </c>
      <c r="H53" s="45" t="n">
        <v>0</v>
      </c>
      <c r="I53" s="45" t="n">
        <v>0</v>
      </c>
      <c r="J53" s="46" t="n">
        <f aca="false">SUMPRODUCT(B53:I53,$B$11:$I$11)</f>
        <v>14.5</v>
      </c>
      <c r="K53" s="52" t="n">
        <f aca="false">J53+J52</f>
        <v>22.5</v>
      </c>
      <c r="L53" s="50" t="n">
        <f aca="false">SUM(J50:J53)</f>
        <v>41.5</v>
      </c>
      <c r="M53" s="50" t="n">
        <f aca="false">SUM(C50:I53)</f>
        <v>41</v>
      </c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 customFormat="false" ht="14.25" hidden="false" customHeight="true" outlineLevel="0" collapsed="false">
      <c r="A54" s="44" t="s">
        <v>78</v>
      </c>
      <c r="B54" s="45" t="n">
        <v>0</v>
      </c>
      <c r="C54" s="45" t="n">
        <v>2</v>
      </c>
      <c r="D54" s="45" t="n">
        <v>11</v>
      </c>
      <c r="E54" s="45" t="n">
        <v>0</v>
      </c>
      <c r="F54" s="45" t="n">
        <v>0</v>
      </c>
      <c r="G54" s="45" t="n">
        <v>1</v>
      </c>
      <c r="H54" s="45" t="n">
        <v>0</v>
      </c>
      <c r="I54" s="45" t="n">
        <v>0</v>
      </c>
      <c r="J54" s="46" t="n">
        <f aca="false">SUMPRODUCT(B54:I54,$B$11:$I$11)</f>
        <v>14.5</v>
      </c>
      <c r="K54" s="47"/>
      <c r="L54" s="47"/>
      <c r="M54" s="47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 customFormat="false" ht="14.25" hidden="false" customHeight="true" outlineLevel="0" collapsed="false">
      <c r="A55" s="44" t="s">
        <v>79</v>
      </c>
      <c r="B55" s="45" t="n">
        <v>1</v>
      </c>
      <c r="C55" s="45" t="n">
        <v>1</v>
      </c>
      <c r="D55" s="45" t="n">
        <v>9</v>
      </c>
      <c r="E55" s="45" t="n">
        <v>0</v>
      </c>
      <c r="F55" s="45" t="n">
        <v>0</v>
      </c>
      <c r="G55" s="45" t="n">
        <v>0</v>
      </c>
      <c r="H55" s="45" t="n">
        <v>0</v>
      </c>
      <c r="I55" s="45" t="n">
        <v>0</v>
      </c>
      <c r="J55" s="46" t="n">
        <f aca="false">SUMPRODUCT(B55:I55,$B$11:$I$11)</f>
        <v>10.5</v>
      </c>
      <c r="K55" s="50" t="n">
        <f aca="false">J55+J54</f>
        <v>25</v>
      </c>
      <c r="L55" s="51"/>
      <c r="M55" s="51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 customFormat="false" ht="14.25" hidden="false" customHeight="true" outlineLevel="0" collapsed="false">
      <c r="A56" s="44" t="s">
        <v>80</v>
      </c>
      <c r="B56" s="45" t="n">
        <v>0</v>
      </c>
      <c r="C56" s="45" t="n">
        <v>0</v>
      </c>
      <c r="D56" s="45" t="n">
        <v>8</v>
      </c>
      <c r="E56" s="45" t="n">
        <v>0</v>
      </c>
      <c r="F56" s="45" t="n">
        <v>0</v>
      </c>
      <c r="G56" s="45" t="n">
        <v>0</v>
      </c>
      <c r="H56" s="45" t="n">
        <v>0</v>
      </c>
      <c r="I56" s="45" t="n">
        <v>0</v>
      </c>
      <c r="J56" s="46" t="n">
        <f aca="false">SUMPRODUCT(B56:I56,$B$11:$I$11)</f>
        <v>8</v>
      </c>
      <c r="K56" s="47"/>
      <c r="L56" s="50"/>
      <c r="M56" s="50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 customFormat="false" ht="14.25" hidden="false" customHeight="true" outlineLevel="0" collapsed="false">
      <c r="A57" s="44" t="s">
        <v>81</v>
      </c>
      <c r="B57" s="45" t="n">
        <v>2</v>
      </c>
      <c r="C57" s="45" t="n">
        <v>0</v>
      </c>
      <c r="D57" s="45" t="n">
        <v>19</v>
      </c>
      <c r="E57" s="45" t="n">
        <v>0</v>
      </c>
      <c r="F57" s="45" t="n">
        <v>0</v>
      </c>
      <c r="G57" s="45" t="n">
        <v>0</v>
      </c>
      <c r="H57" s="45" t="n">
        <v>0</v>
      </c>
      <c r="I57" s="45" t="n">
        <v>0</v>
      </c>
      <c r="J57" s="46" t="n">
        <f aca="false">SUMPRODUCT(B57:I57,$B$11:$I$11)</f>
        <v>20</v>
      </c>
      <c r="K57" s="50" t="n">
        <f aca="false">J57+J56</f>
        <v>28</v>
      </c>
      <c r="L57" s="50" t="n">
        <f aca="false">SUM(J54:J57)</f>
        <v>53</v>
      </c>
      <c r="M57" s="50" t="n">
        <f aca="false">SUM(C54:I57)</f>
        <v>51</v>
      </c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 customFormat="false" ht="14.25" hidden="false" customHeight="true" outlineLevel="0" collapsed="false">
      <c r="A58" s="44" t="s">
        <v>82</v>
      </c>
      <c r="B58" s="45" t="n">
        <v>2</v>
      </c>
      <c r="C58" s="45" t="n">
        <v>0</v>
      </c>
      <c r="D58" s="45" t="n">
        <v>15</v>
      </c>
      <c r="E58" s="45" t="n">
        <v>0</v>
      </c>
      <c r="F58" s="45" t="n">
        <v>0</v>
      </c>
      <c r="G58" s="45" t="n">
        <v>0</v>
      </c>
      <c r="H58" s="45" t="n">
        <v>0</v>
      </c>
      <c r="I58" s="45" t="n">
        <v>0</v>
      </c>
      <c r="J58" s="46" t="n">
        <f aca="false">SUMPRODUCT(B58:I58,$B$11:$I$11)</f>
        <v>16</v>
      </c>
      <c r="K58" s="47"/>
      <c r="L58" s="47"/>
      <c r="M58" s="47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 customFormat="false" ht="14.25" hidden="false" customHeight="true" outlineLevel="0" collapsed="false">
      <c r="A59" s="44" t="s">
        <v>83</v>
      </c>
      <c r="B59" s="45" t="n">
        <v>0</v>
      </c>
      <c r="C59" s="45" t="n">
        <v>1</v>
      </c>
      <c r="D59" s="45" t="n">
        <v>15</v>
      </c>
      <c r="E59" s="45" t="n">
        <v>0</v>
      </c>
      <c r="F59" s="45" t="n">
        <v>0</v>
      </c>
      <c r="G59" s="45" t="n">
        <v>1</v>
      </c>
      <c r="H59" s="45" t="n">
        <v>0</v>
      </c>
      <c r="I59" s="45" t="n">
        <v>0</v>
      </c>
      <c r="J59" s="46" t="n">
        <f aca="false">SUMPRODUCT(B59:I59,$B$11:$I$11)</f>
        <v>17.5</v>
      </c>
      <c r="K59" s="50" t="n">
        <f aca="false">J59+J58</f>
        <v>33.5</v>
      </c>
      <c r="L59" s="51"/>
      <c r="M59" s="51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 customFormat="false" ht="14.25" hidden="false" customHeight="true" outlineLevel="0" collapsed="false">
      <c r="A60" s="44" t="s">
        <v>84</v>
      </c>
      <c r="B60" s="45" t="n">
        <v>1</v>
      </c>
      <c r="C60" s="45" t="n">
        <v>0</v>
      </c>
      <c r="D60" s="45" t="n">
        <v>9</v>
      </c>
      <c r="E60" s="45" t="n">
        <v>0</v>
      </c>
      <c r="F60" s="45" t="n">
        <v>0</v>
      </c>
      <c r="G60" s="45" t="n">
        <v>0</v>
      </c>
      <c r="H60" s="45" t="n">
        <v>0</v>
      </c>
      <c r="I60" s="45" t="n">
        <v>0</v>
      </c>
      <c r="J60" s="46" t="n">
        <f aca="false">SUMPRODUCT(B60:I60,$B$11:$I$11)</f>
        <v>9.5</v>
      </c>
      <c r="K60" s="47"/>
      <c r="L60" s="50"/>
      <c r="M60" s="50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 customFormat="false" ht="14.25" hidden="false" customHeight="true" outlineLevel="0" collapsed="false">
      <c r="A61" s="44" t="s">
        <v>85</v>
      </c>
      <c r="B61" s="45" t="n">
        <v>1</v>
      </c>
      <c r="C61" s="45" t="n">
        <v>0</v>
      </c>
      <c r="D61" s="45" t="n">
        <v>10</v>
      </c>
      <c r="E61" s="45" t="n">
        <v>0</v>
      </c>
      <c r="F61" s="45" t="n">
        <v>0</v>
      </c>
      <c r="G61" s="45" t="n">
        <v>0</v>
      </c>
      <c r="H61" s="45" t="n">
        <v>0</v>
      </c>
      <c r="I61" s="45" t="n">
        <v>0</v>
      </c>
      <c r="J61" s="46" t="n">
        <f aca="false">SUMPRODUCT(B61:I61,$B$11:$I$11)</f>
        <v>10.5</v>
      </c>
      <c r="K61" s="50" t="n">
        <f aca="false">J61+J60</f>
        <v>20</v>
      </c>
      <c r="L61" s="50" t="n">
        <f aca="false">SUM(J58:J61)</f>
        <v>53.5</v>
      </c>
      <c r="M61" s="50" t="n">
        <f aca="false">SUM(C58:I61)</f>
        <v>51</v>
      </c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 customFormat="false" ht="14.25" hidden="false" customHeight="true" outlineLevel="0" collapsed="false">
      <c r="A62" s="44" t="s">
        <v>86</v>
      </c>
      <c r="B62" s="45" t="n">
        <v>0</v>
      </c>
      <c r="C62" s="45" t="n">
        <v>1</v>
      </c>
      <c r="D62" s="45" t="n">
        <v>6</v>
      </c>
      <c r="E62" s="45" t="n">
        <v>0</v>
      </c>
      <c r="F62" s="45" t="n">
        <v>0</v>
      </c>
      <c r="G62" s="45" t="n">
        <v>0</v>
      </c>
      <c r="H62" s="45" t="n">
        <v>0</v>
      </c>
      <c r="I62" s="45" t="n">
        <v>0</v>
      </c>
      <c r="J62" s="46" t="n">
        <f aca="false">SUMPRODUCT(B62:I62,$B$11:$I$11)</f>
        <v>7</v>
      </c>
      <c r="K62" s="47"/>
      <c r="L62" s="47"/>
      <c r="M62" s="47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 customFormat="false" ht="14.25" hidden="false" customHeight="true" outlineLevel="0" collapsed="false">
      <c r="A63" s="44" t="s">
        <v>87</v>
      </c>
      <c r="B63" s="45" t="n">
        <v>0</v>
      </c>
      <c r="C63" s="45" t="n">
        <v>4</v>
      </c>
      <c r="D63" s="45" t="n">
        <v>12</v>
      </c>
      <c r="E63" s="45" t="n">
        <v>0</v>
      </c>
      <c r="F63" s="45" t="n">
        <v>0</v>
      </c>
      <c r="G63" s="45" t="n">
        <v>0</v>
      </c>
      <c r="H63" s="45" t="n">
        <v>0</v>
      </c>
      <c r="I63" s="45" t="n">
        <v>0</v>
      </c>
      <c r="J63" s="46" t="n">
        <f aca="false">SUMPRODUCT(B63:I63,$B$11:$I$11)</f>
        <v>16</v>
      </c>
      <c r="K63" s="50" t="n">
        <f aca="false">J63+J62</f>
        <v>23</v>
      </c>
      <c r="L63" s="51"/>
      <c r="M63" s="51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 customFormat="false" ht="14.25" hidden="false" customHeight="true" outlineLevel="0" collapsed="false">
      <c r="A64" s="44" t="s">
        <v>88</v>
      </c>
      <c r="B64" s="45" t="n">
        <v>0</v>
      </c>
      <c r="C64" s="45" t="n">
        <v>0</v>
      </c>
      <c r="D64" s="45" t="n">
        <v>9</v>
      </c>
      <c r="E64" s="45" t="n">
        <v>0</v>
      </c>
      <c r="F64" s="45" t="n">
        <v>0</v>
      </c>
      <c r="G64" s="45" t="n">
        <v>0</v>
      </c>
      <c r="H64" s="45" t="n">
        <v>0</v>
      </c>
      <c r="I64" s="45" t="n">
        <v>0</v>
      </c>
      <c r="J64" s="46" t="n">
        <f aca="false">SUMPRODUCT(B64:I64,$B$11:$I$11)</f>
        <v>9</v>
      </c>
      <c r="K64" s="47"/>
      <c r="L64" s="50"/>
      <c r="M64" s="50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 customFormat="false" ht="14.25" hidden="false" customHeight="true" outlineLevel="0" collapsed="false">
      <c r="A65" s="44" t="s">
        <v>89</v>
      </c>
      <c r="B65" s="45" t="n">
        <v>0</v>
      </c>
      <c r="C65" s="45" t="n">
        <v>0</v>
      </c>
      <c r="D65" s="45" t="n">
        <v>7</v>
      </c>
      <c r="E65" s="45" t="n">
        <v>0</v>
      </c>
      <c r="F65" s="45" t="n">
        <v>0</v>
      </c>
      <c r="G65" s="45" t="n">
        <v>0</v>
      </c>
      <c r="H65" s="45" t="n">
        <v>0</v>
      </c>
      <c r="I65" s="45" t="n">
        <v>0</v>
      </c>
      <c r="J65" s="46" t="n">
        <f aca="false">SUMPRODUCT(B65:I65,$B$11:$I$11)</f>
        <v>7</v>
      </c>
      <c r="K65" s="50" t="n">
        <f aca="false">J65+J64</f>
        <v>16</v>
      </c>
      <c r="L65" s="50" t="n">
        <f aca="false">SUM(J62:J65)</f>
        <v>39</v>
      </c>
      <c r="M65" s="50" t="n">
        <f aca="false">SUM(C62:I65)</f>
        <v>39</v>
      </c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 customFormat="false" ht="14.25" hidden="false" customHeight="true" outlineLevel="0" collapsed="false">
      <c r="A66" s="44" t="s">
        <v>90</v>
      </c>
      <c r="B66" s="45" t="n">
        <v>2</v>
      </c>
      <c r="C66" s="45" t="n">
        <v>2</v>
      </c>
      <c r="D66" s="45" t="n">
        <v>6</v>
      </c>
      <c r="E66" s="45" t="n">
        <v>0</v>
      </c>
      <c r="F66" s="45" t="n">
        <v>0</v>
      </c>
      <c r="G66" s="45" t="n">
        <v>0</v>
      </c>
      <c r="H66" s="45" t="n">
        <v>0</v>
      </c>
      <c r="I66" s="45" t="n">
        <v>0</v>
      </c>
      <c r="J66" s="46" t="n">
        <f aca="false">SUMPRODUCT(B66:I66,$B$11:$I$11)</f>
        <v>9</v>
      </c>
      <c r="K66" s="47"/>
      <c r="L66" s="47"/>
      <c r="M66" s="47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 customFormat="false" ht="14.25" hidden="false" customHeight="true" outlineLevel="0" collapsed="false">
      <c r="A67" s="44" t="s">
        <v>91</v>
      </c>
      <c r="B67" s="45" t="n">
        <v>4</v>
      </c>
      <c r="C67" s="45" t="n">
        <v>0</v>
      </c>
      <c r="D67" s="45" t="n">
        <v>5</v>
      </c>
      <c r="E67" s="45" t="n">
        <v>0</v>
      </c>
      <c r="F67" s="45" t="n">
        <v>0</v>
      </c>
      <c r="G67" s="45" t="n">
        <v>0</v>
      </c>
      <c r="H67" s="45" t="n">
        <v>0</v>
      </c>
      <c r="I67" s="45" t="n">
        <v>0</v>
      </c>
      <c r="J67" s="46" t="n">
        <f aca="false">SUMPRODUCT(B67:I67,$B$11:$I$11)</f>
        <v>7</v>
      </c>
      <c r="K67" s="50" t="n">
        <f aca="false">J67+J66</f>
        <v>16</v>
      </c>
      <c r="L67" s="51"/>
      <c r="M67" s="53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 customFormat="false" ht="14.25" hidden="false" customHeight="true" outlineLevel="0" collapsed="false">
      <c r="A68" s="44" t="s">
        <v>92</v>
      </c>
      <c r="B68" s="45" t="n">
        <v>0</v>
      </c>
      <c r="C68" s="45" t="n">
        <v>0</v>
      </c>
      <c r="D68" s="45" t="n">
        <v>2</v>
      </c>
      <c r="E68" s="45" t="n">
        <v>0</v>
      </c>
      <c r="F68" s="45" t="n">
        <v>0</v>
      </c>
      <c r="G68" s="45" t="n">
        <v>0</v>
      </c>
      <c r="H68" s="45" t="n">
        <v>0</v>
      </c>
      <c r="I68" s="45" t="n">
        <v>0</v>
      </c>
      <c r="J68" s="46" t="n">
        <f aca="false">SUMPRODUCT(B68:I68,$B$11:$I$11)</f>
        <v>2</v>
      </c>
      <c r="K68" s="47"/>
      <c r="L68" s="50"/>
      <c r="M68" s="50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 customFormat="false" ht="14.25" hidden="false" customHeight="true" outlineLevel="0" collapsed="false">
      <c r="A69" s="44" t="s">
        <v>93</v>
      </c>
      <c r="B69" s="45" t="n">
        <v>1</v>
      </c>
      <c r="C69" s="45" t="n">
        <v>0</v>
      </c>
      <c r="D69" s="45" t="n">
        <v>3</v>
      </c>
      <c r="E69" s="45" t="n">
        <v>0</v>
      </c>
      <c r="F69" s="45" t="n">
        <v>0</v>
      </c>
      <c r="G69" s="45" t="n">
        <v>0</v>
      </c>
      <c r="H69" s="45" t="n">
        <v>0</v>
      </c>
      <c r="I69" s="45" t="n">
        <v>0</v>
      </c>
      <c r="J69" s="46" t="n">
        <f aca="false">SUMPRODUCT(B69:I69,$B$11:$I$11)</f>
        <v>3.5</v>
      </c>
      <c r="K69" s="52" t="n">
        <f aca="false">J69+J68</f>
        <v>5.5</v>
      </c>
      <c r="L69" s="52" t="n">
        <f aca="false">SUM(J66:J69)</f>
        <v>21.5</v>
      </c>
      <c r="M69" s="52" t="n">
        <f aca="false">SUM(C66:I69)</f>
        <v>18</v>
      </c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 customFormat="false" ht="14.25" hidden="false" customHeight="true" outlineLevel="0" collapsed="false">
      <c r="A70" s="54" t="s">
        <v>94</v>
      </c>
      <c r="B70" s="3" t="n">
        <f aca="false">SUM(B14:B69)</f>
        <v>21</v>
      </c>
      <c r="C70" s="3" t="n">
        <f aca="false">SUM(C14:C69)</f>
        <v>14</v>
      </c>
      <c r="D70" s="3" t="n">
        <f aca="false">SUM(D14:D69)</f>
        <v>547</v>
      </c>
      <c r="E70" s="3" t="n">
        <f aca="false">SUM(E14:E69)</f>
        <v>0</v>
      </c>
      <c r="F70" s="3" t="n">
        <f aca="false">SUM(F14:F69)</f>
        <v>1</v>
      </c>
      <c r="G70" s="3" t="n">
        <f aca="false">SUM(G14:G69)</f>
        <v>3</v>
      </c>
      <c r="H70" s="3" t="n">
        <f aca="false">SUM(H14:H69)</f>
        <v>0</v>
      </c>
      <c r="I70" s="3" t="n">
        <f aca="false">SUM(I14:I69)</f>
        <v>0</v>
      </c>
      <c r="J70" s="3" t="n">
        <f aca="false">SUM(J14:J69)</f>
        <v>577.5</v>
      </c>
      <c r="K70" s="3"/>
      <c r="L70" s="3"/>
      <c r="M70" s="3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3">
    <mergeCell ref="A3:M3"/>
    <mergeCell ref="A4:M4"/>
    <mergeCell ref="K6:M6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14.48"/>
    <col collapsed="false" customWidth="true" hidden="false" outlineLevel="0" max="9" min="2" style="1" width="6.94"/>
    <col collapsed="false" customWidth="true" hidden="false" outlineLevel="0" max="13" min="10" style="1" width="7.5"/>
    <col collapsed="false" customWidth="true" hidden="false" outlineLevel="0" max="31" min="14" style="1" width="13.28"/>
    <col collapsed="false" customWidth="true" hidden="false" outlineLevel="0" max="257" min="32" style="1" width="15.97"/>
  </cols>
  <sheetData>
    <row r="1" customFormat="false" ht="14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2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9.35" hidden="false" customHeight="true" outlineLevel="0" collapsed="false">
      <c r="A3" s="17" t="s">
        <v>0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7" hidden="false" customHeight="true" outlineLevel="0" collapsed="false">
      <c r="A4" s="18" t="s">
        <v>12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4.25" hidden="false" customHeight="true" outlineLevel="0" collapsed="false">
      <c r="A5" s="19" t="s">
        <v>6</v>
      </c>
      <c r="B5" s="20"/>
      <c r="C5" s="21"/>
      <c r="D5" s="22"/>
      <c r="E5" s="22"/>
      <c r="F5" s="20"/>
      <c r="G5" s="23"/>
      <c r="H5" s="23"/>
      <c r="I5" s="21"/>
      <c r="J5" s="22" t="s">
        <v>3</v>
      </c>
      <c r="K5" s="20" t="n">
        <v>0</v>
      </c>
      <c r="L5" s="24"/>
      <c r="M5" s="25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20" hidden="false" customHeight="false" outlineLevel="0" collapsed="false">
      <c r="A6" s="26" t="n">
        <f aca="false">'Deckbl.'!I11</f>
        <v>45036</v>
      </c>
      <c r="B6" s="3"/>
      <c r="C6" s="2"/>
      <c r="D6" s="2"/>
      <c r="E6" s="3"/>
      <c r="F6" s="3"/>
      <c r="G6" s="3"/>
      <c r="H6" s="3"/>
      <c r="I6" s="2"/>
      <c r="J6" s="7" t="s">
        <v>9</v>
      </c>
      <c r="K6" s="27" t="str">
        <f aca="false">'Deckbl.'!I12</f>
        <v>morgens leichter Regen, dann Sonne, 5-17°</v>
      </c>
      <c r="L6" s="27"/>
      <c r="M6" s="2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4.25" hidden="false" customHeight="true" outlineLevel="0" collapsed="false">
      <c r="A7" s="28"/>
      <c r="B7" s="7" t="s">
        <v>13</v>
      </c>
      <c r="C7" s="29" t="str">
        <f aca="false">'Deckbl.'!C8</f>
        <v>Sandleiten / Schulstraße / Parkstraße (Pregarten)</v>
      </c>
      <c r="D7" s="30"/>
      <c r="E7" s="31"/>
      <c r="F7" s="31"/>
      <c r="G7" s="31"/>
      <c r="H7" s="31"/>
      <c r="I7" s="32"/>
      <c r="J7" s="29"/>
      <c r="K7" s="31"/>
      <c r="L7" s="31"/>
      <c r="M7" s="33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4.25" hidden="false" customHeight="true" outlineLevel="0" collapsed="false">
      <c r="A8" s="28"/>
      <c r="B8" s="7" t="s">
        <v>14</v>
      </c>
      <c r="C8" s="30"/>
      <c r="D8" s="30"/>
      <c r="E8" s="31"/>
      <c r="F8" s="31"/>
      <c r="G8" s="31"/>
      <c r="H8" s="31"/>
      <c r="I8" s="32" t="s">
        <v>7</v>
      </c>
      <c r="J8" s="29" t="s">
        <v>8</v>
      </c>
      <c r="K8" s="34"/>
      <c r="L8" s="31"/>
      <c r="M8" s="33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4.25" hidden="false" customHeight="true" outlineLevel="0" collapsed="false">
      <c r="A9" s="28"/>
      <c r="B9" s="7" t="s">
        <v>15</v>
      </c>
      <c r="C9" s="35" t="s">
        <v>98</v>
      </c>
      <c r="D9" s="4"/>
      <c r="E9" s="3"/>
      <c r="F9" s="3"/>
      <c r="G9" s="3"/>
      <c r="H9" s="3"/>
      <c r="I9" s="7" t="s">
        <v>17</v>
      </c>
      <c r="J9" s="29" t="str">
        <f aca="false">'Deckbl.'!C11</f>
        <v>6-20</v>
      </c>
      <c r="K9" s="31"/>
      <c r="L9" s="31"/>
      <c r="M9" s="33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4.25" hidden="false" customHeight="true" outlineLevel="0" collapsed="false">
      <c r="A10" s="28"/>
      <c r="B10" s="32" t="s">
        <v>18</v>
      </c>
      <c r="C10" s="36"/>
      <c r="D10" s="30"/>
      <c r="E10" s="31"/>
      <c r="F10" s="31"/>
      <c r="G10" s="31"/>
      <c r="H10" s="31"/>
      <c r="I10" s="32" t="s">
        <v>19</v>
      </c>
      <c r="J10" s="29"/>
      <c r="K10" s="31"/>
      <c r="L10" s="29"/>
      <c r="M10" s="33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4.25" hidden="false" customHeight="true" outlineLevel="0" collapsed="false">
      <c r="A11" s="37" t="s">
        <v>20</v>
      </c>
      <c r="B11" s="38" t="n">
        <v>0.5</v>
      </c>
      <c r="C11" s="38" t="n">
        <v>1</v>
      </c>
      <c r="D11" s="38" t="n">
        <f aca="false">'Faktoren PKW-E'!B16</f>
        <v>1</v>
      </c>
      <c r="E11" s="38" t="n">
        <v>1.5</v>
      </c>
      <c r="F11" s="38" t="n">
        <v>1.5</v>
      </c>
      <c r="G11" s="38" t="n">
        <v>1.5</v>
      </c>
      <c r="H11" s="38" t="n">
        <v>2</v>
      </c>
      <c r="I11" s="38" t="n">
        <v>1.5</v>
      </c>
      <c r="J11" s="39"/>
      <c r="K11" s="39"/>
      <c r="L11" s="39"/>
      <c r="M11" s="39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4.25" hidden="false" customHeight="true" outlineLevel="0" collapsed="false">
      <c r="A12" s="40"/>
      <c r="B12" s="19"/>
      <c r="C12" s="41" t="s">
        <v>21</v>
      </c>
      <c r="D12" s="19" t="s">
        <v>22</v>
      </c>
      <c r="E12" s="41" t="s">
        <v>23</v>
      </c>
      <c r="F12" s="41" t="s">
        <v>24</v>
      </c>
      <c r="G12" s="41"/>
      <c r="H12" s="41" t="s">
        <v>25</v>
      </c>
      <c r="I12" s="41" t="s">
        <v>26</v>
      </c>
      <c r="J12" s="42" t="s">
        <v>27</v>
      </c>
      <c r="K12" s="42" t="s">
        <v>27</v>
      </c>
      <c r="L12" s="42" t="s">
        <v>27</v>
      </c>
      <c r="M12" s="42" t="s">
        <v>28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4.25" hidden="false" customHeight="true" outlineLevel="0" collapsed="false">
      <c r="A13" s="43" t="s">
        <v>29</v>
      </c>
      <c r="B13" s="41" t="s">
        <v>30</v>
      </c>
      <c r="C13" s="41" t="s">
        <v>28</v>
      </c>
      <c r="D13" s="41" t="s">
        <v>31</v>
      </c>
      <c r="E13" s="41" t="s">
        <v>32</v>
      </c>
      <c r="F13" s="41" t="s">
        <v>32</v>
      </c>
      <c r="G13" s="41" t="s">
        <v>33</v>
      </c>
      <c r="H13" s="41" t="s">
        <v>34</v>
      </c>
      <c r="I13" s="41" t="s">
        <v>28</v>
      </c>
      <c r="J13" s="42" t="s">
        <v>35</v>
      </c>
      <c r="K13" s="42" t="s">
        <v>36</v>
      </c>
      <c r="L13" s="42" t="s">
        <v>37</v>
      </c>
      <c r="M13" s="42" t="s">
        <v>37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4.25" hidden="false" customHeight="true" outlineLevel="0" collapsed="false">
      <c r="A14" s="44" t="s">
        <v>38</v>
      </c>
      <c r="B14" s="45" t="n">
        <v>0</v>
      </c>
      <c r="C14" s="45" t="n">
        <v>0</v>
      </c>
      <c r="D14" s="45" t="n">
        <v>3</v>
      </c>
      <c r="E14" s="45" t="n">
        <v>0</v>
      </c>
      <c r="F14" s="45" t="n">
        <v>0</v>
      </c>
      <c r="G14" s="45" t="n">
        <v>0</v>
      </c>
      <c r="H14" s="45" t="n">
        <v>0</v>
      </c>
      <c r="I14" s="45" t="n">
        <v>0</v>
      </c>
      <c r="J14" s="46" t="n">
        <f aca="false">SUMPRODUCT(B14:I14,$B$11:$I$11)</f>
        <v>3</v>
      </c>
      <c r="K14" s="47"/>
      <c r="L14" s="47"/>
      <c r="M14" s="47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 customFormat="false" ht="14.25" hidden="false" customHeight="true" outlineLevel="0" collapsed="false">
      <c r="A15" s="44" t="s">
        <v>39</v>
      </c>
      <c r="B15" s="45" t="n">
        <v>0</v>
      </c>
      <c r="C15" s="45" t="n">
        <v>0</v>
      </c>
      <c r="D15" s="45" t="n">
        <v>4</v>
      </c>
      <c r="E15" s="45" t="n">
        <v>0</v>
      </c>
      <c r="F15" s="45" t="n">
        <v>0</v>
      </c>
      <c r="G15" s="45" t="n">
        <v>0</v>
      </c>
      <c r="H15" s="45" t="n">
        <v>0</v>
      </c>
      <c r="I15" s="45" t="n">
        <v>0</v>
      </c>
      <c r="J15" s="46" t="n">
        <f aca="false">SUMPRODUCT(B15:I15,$B$11:$I$11)</f>
        <v>4</v>
      </c>
      <c r="K15" s="50" t="n">
        <f aca="false">J15+J14</f>
        <v>7</v>
      </c>
      <c r="L15" s="51"/>
      <c r="M15" s="51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customFormat="false" ht="14.25" hidden="false" customHeight="true" outlineLevel="0" collapsed="false">
      <c r="A16" s="44" t="s">
        <v>40</v>
      </c>
      <c r="B16" s="45" t="n">
        <v>0</v>
      </c>
      <c r="C16" s="45" t="n">
        <v>0</v>
      </c>
      <c r="D16" s="45" t="n">
        <v>9</v>
      </c>
      <c r="E16" s="45" t="n">
        <v>0</v>
      </c>
      <c r="F16" s="45" t="n">
        <v>0</v>
      </c>
      <c r="G16" s="45" t="n">
        <v>1</v>
      </c>
      <c r="H16" s="45" t="n">
        <v>0</v>
      </c>
      <c r="I16" s="45" t="n">
        <v>0</v>
      </c>
      <c r="J16" s="46" t="n">
        <f aca="false">SUMPRODUCT(B16:I16,$B$11:$I$11)</f>
        <v>10.5</v>
      </c>
      <c r="K16" s="47"/>
      <c r="L16" s="50"/>
      <c r="M16" s="50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 customFormat="false" ht="14.25" hidden="false" customHeight="true" outlineLevel="0" collapsed="false">
      <c r="A17" s="44" t="s">
        <v>41</v>
      </c>
      <c r="B17" s="45" t="n">
        <v>1</v>
      </c>
      <c r="C17" s="45" t="n">
        <v>0</v>
      </c>
      <c r="D17" s="45" t="n">
        <v>10</v>
      </c>
      <c r="E17" s="45" t="n">
        <v>1</v>
      </c>
      <c r="F17" s="45" t="n">
        <v>0</v>
      </c>
      <c r="G17" s="45" t="n">
        <v>0</v>
      </c>
      <c r="H17" s="45" t="n">
        <v>0</v>
      </c>
      <c r="I17" s="45" t="n">
        <v>0</v>
      </c>
      <c r="J17" s="46" t="n">
        <f aca="false">SUMPRODUCT(B17:I17,$B$11:$I$11)</f>
        <v>12</v>
      </c>
      <c r="K17" s="50" t="n">
        <f aca="false">J17+J16</f>
        <v>22.5</v>
      </c>
      <c r="L17" s="50" t="n">
        <f aca="false">SUM(J14:J17)</f>
        <v>29.5</v>
      </c>
      <c r="M17" s="50" t="n">
        <f aca="false">SUM(C14:I17)</f>
        <v>28</v>
      </c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 customFormat="false" ht="14.25" hidden="false" customHeight="true" outlineLevel="0" collapsed="false">
      <c r="A18" s="44" t="s">
        <v>42</v>
      </c>
      <c r="B18" s="45" t="n">
        <v>0</v>
      </c>
      <c r="C18" s="45" t="n">
        <v>0</v>
      </c>
      <c r="D18" s="45" t="n">
        <v>15</v>
      </c>
      <c r="E18" s="45" t="n">
        <v>0</v>
      </c>
      <c r="F18" s="45" t="n">
        <v>0</v>
      </c>
      <c r="G18" s="45" t="n">
        <v>0</v>
      </c>
      <c r="H18" s="45" t="n">
        <v>0</v>
      </c>
      <c r="I18" s="45" t="n">
        <v>0</v>
      </c>
      <c r="J18" s="46" t="n">
        <f aca="false">SUMPRODUCT(B18:I18,$B$11:$I$11)</f>
        <v>15</v>
      </c>
      <c r="K18" s="47"/>
      <c r="L18" s="47"/>
      <c r="M18" s="47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 customFormat="false" ht="14.25" hidden="false" customHeight="true" outlineLevel="0" collapsed="false">
      <c r="A19" s="44" t="s">
        <v>43</v>
      </c>
      <c r="B19" s="45" t="n">
        <v>0</v>
      </c>
      <c r="C19" s="45" t="n">
        <v>0</v>
      </c>
      <c r="D19" s="45" t="n">
        <v>18</v>
      </c>
      <c r="E19" s="45" t="n">
        <v>0</v>
      </c>
      <c r="F19" s="45" t="n">
        <v>0</v>
      </c>
      <c r="G19" s="45" t="n">
        <v>0</v>
      </c>
      <c r="H19" s="45" t="n">
        <v>0</v>
      </c>
      <c r="I19" s="45" t="n">
        <v>0</v>
      </c>
      <c r="J19" s="46" t="n">
        <f aca="false">SUMPRODUCT(B19:I19,$B$11:$I$11)</f>
        <v>18</v>
      </c>
      <c r="K19" s="50" t="n">
        <f aca="false">J19+J18</f>
        <v>33</v>
      </c>
      <c r="L19" s="51"/>
      <c r="M19" s="51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 customFormat="false" ht="14.25" hidden="false" customHeight="true" outlineLevel="0" collapsed="false">
      <c r="A20" s="44" t="s">
        <v>44</v>
      </c>
      <c r="B20" s="45" t="n">
        <v>0</v>
      </c>
      <c r="C20" s="45" t="n">
        <v>0</v>
      </c>
      <c r="D20" s="45" t="n">
        <v>15</v>
      </c>
      <c r="E20" s="45" t="n">
        <v>0</v>
      </c>
      <c r="F20" s="45" t="n">
        <v>0</v>
      </c>
      <c r="G20" s="45" t="n">
        <v>0</v>
      </c>
      <c r="H20" s="45" t="n">
        <v>0</v>
      </c>
      <c r="I20" s="45" t="n">
        <v>0</v>
      </c>
      <c r="J20" s="46" t="n">
        <f aca="false">SUMPRODUCT(B20:I20,$B$11:$I$11)</f>
        <v>15</v>
      </c>
      <c r="K20" s="47"/>
      <c r="L20" s="50"/>
      <c r="M20" s="50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 customFormat="false" ht="14.25" hidden="false" customHeight="true" outlineLevel="0" collapsed="false">
      <c r="A21" s="44" t="s">
        <v>45</v>
      </c>
      <c r="B21" s="45" t="n">
        <v>0</v>
      </c>
      <c r="C21" s="45" t="n">
        <v>0</v>
      </c>
      <c r="D21" s="45" t="n">
        <v>9</v>
      </c>
      <c r="E21" s="45" t="n">
        <v>0</v>
      </c>
      <c r="F21" s="45" t="n">
        <v>0</v>
      </c>
      <c r="G21" s="45" t="n">
        <v>0</v>
      </c>
      <c r="H21" s="45" t="n">
        <v>0</v>
      </c>
      <c r="I21" s="45" t="n">
        <v>0</v>
      </c>
      <c r="J21" s="46" t="n">
        <f aca="false">SUMPRODUCT(B21:I21,$B$11:$I$11)</f>
        <v>9</v>
      </c>
      <c r="K21" s="50" t="n">
        <f aca="false">J21+J20</f>
        <v>24</v>
      </c>
      <c r="L21" s="50" t="n">
        <f aca="false">SUM(J18:J21)</f>
        <v>57</v>
      </c>
      <c r="M21" s="50" t="n">
        <f aca="false">SUM(C18:I21)</f>
        <v>57</v>
      </c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 customFormat="false" ht="14.25" hidden="false" customHeight="true" outlineLevel="0" collapsed="false">
      <c r="A22" s="44" t="s">
        <v>46</v>
      </c>
      <c r="B22" s="45" t="n">
        <v>0</v>
      </c>
      <c r="C22" s="45" t="n">
        <v>0</v>
      </c>
      <c r="D22" s="45" t="n">
        <v>17</v>
      </c>
      <c r="E22" s="45" t="n">
        <v>0</v>
      </c>
      <c r="F22" s="45" t="n">
        <v>0</v>
      </c>
      <c r="G22" s="45" t="n">
        <v>0</v>
      </c>
      <c r="H22" s="45" t="n">
        <v>0</v>
      </c>
      <c r="I22" s="45" t="n">
        <v>0</v>
      </c>
      <c r="J22" s="46" t="n">
        <f aca="false">SUMPRODUCT(B22:I22,$B$11:$I$11)</f>
        <v>17</v>
      </c>
      <c r="K22" s="47"/>
      <c r="L22" s="47"/>
      <c r="M22" s="47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 customFormat="false" ht="14.25" hidden="false" customHeight="true" outlineLevel="0" collapsed="false">
      <c r="A23" s="44" t="s">
        <v>47</v>
      </c>
      <c r="B23" s="45" t="n">
        <v>0</v>
      </c>
      <c r="C23" s="45" t="n">
        <v>0</v>
      </c>
      <c r="D23" s="45" t="n">
        <v>12</v>
      </c>
      <c r="E23" s="45" t="n">
        <v>0</v>
      </c>
      <c r="F23" s="45" t="n">
        <v>0</v>
      </c>
      <c r="G23" s="45" t="n">
        <v>0</v>
      </c>
      <c r="H23" s="45" t="n">
        <v>0</v>
      </c>
      <c r="I23" s="45" t="n">
        <v>0</v>
      </c>
      <c r="J23" s="46" t="n">
        <f aca="false">SUMPRODUCT(B23:I23,$B$11:$I$11)</f>
        <v>12</v>
      </c>
      <c r="K23" s="50" t="n">
        <f aca="false">J23+J22</f>
        <v>29</v>
      </c>
      <c r="L23" s="51"/>
      <c r="M23" s="51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 customFormat="false" ht="14.25" hidden="false" customHeight="true" outlineLevel="0" collapsed="false">
      <c r="A24" s="44" t="s">
        <v>48</v>
      </c>
      <c r="B24" s="45" t="n">
        <v>1</v>
      </c>
      <c r="C24" s="45" t="n">
        <v>0</v>
      </c>
      <c r="D24" s="45" t="n">
        <v>7</v>
      </c>
      <c r="E24" s="45" t="n">
        <v>0</v>
      </c>
      <c r="F24" s="45" t="n">
        <v>0</v>
      </c>
      <c r="G24" s="45" t="n">
        <v>0</v>
      </c>
      <c r="H24" s="45" t="n">
        <v>0</v>
      </c>
      <c r="I24" s="45" t="n">
        <v>0</v>
      </c>
      <c r="J24" s="46" t="n">
        <f aca="false">SUMPRODUCT(B24:I24,$B$11:$I$11)</f>
        <v>7.5</v>
      </c>
      <c r="K24" s="47"/>
      <c r="L24" s="50"/>
      <c r="M24" s="50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 customFormat="false" ht="14.25" hidden="false" customHeight="true" outlineLevel="0" collapsed="false">
      <c r="A25" s="44" t="s">
        <v>49</v>
      </c>
      <c r="B25" s="45" t="n">
        <v>1</v>
      </c>
      <c r="C25" s="45" t="n">
        <v>0</v>
      </c>
      <c r="D25" s="45" t="n">
        <v>5</v>
      </c>
      <c r="E25" s="45" t="n">
        <v>0</v>
      </c>
      <c r="F25" s="45" t="n">
        <v>0</v>
      </c>
      <c r="G25" s="45" t="n">
        <v>0</v>
      </c>
      <c r="H25" s="45" t="n">
        <v>1</v>
      </c>
      <c r="I25" s="45" t="n">
        <v>0</v>
      </c>
      <c r="J25" s="46" t="n">
        <f aca="false">SUMPRODUCT(B25:I25,$B$11:$I$11)</f>
        <v>7.5</v>
      </c>
      <c r="K25" s="50" t="n">
        <f aca="false">J25+J24</f>
        <v>15</v>
      </c>
      <c r="L25" s="50" t="n">
        <f aca="false">SUM(J22:J25)</f>
        <v>44</v>
      </c>
      <c r="M25" s="50" t="n">
        <f aca="false">SUM(C22:I25)</f>
        <v>42</v>
      </c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 customFormat="false" ht="14.25" hidden="false" customHeight="true" outlineLevel="0" collapsed="false">
      <c r="A26" s="44" t="s">
        <v>50</v>
      </c>
      <c r="B26" s="45" t="n">
        <v>1</v>
      </c>
      <c r="C26" s="45" t="n">
        <v>0</v>
      </c>
      <c r="D26" s="45" t="n">
        <v>7</v>
      </c>
      <c r="E26" s="45" t="n">
        <v>0</v>
      </c>
      <c r="F26" s="45" t="n">
        <v>0</v>
      </c>
      <c r="G26" s="45" t="n">
        <v>0</v>
      </c>
      <c r="H26" s="45" t="n">
        <v>0</v>
      </c>
      <c r="I26" s="45" t="n">
        <v>0</v>
      </c>
      <c r="J26" s="46" t="n">
        <f aca="false">SUMPRODUCT(B26:I26,$B$11:$I$11)</f>
        <v>7.5</v>
      </c>
      <c r="K26" s="47"/>
      <c r="L26" s="47"/>
      <c r="M26" s="47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 customFormat="false" ht="14.25" hidden="false" customHeight="true" outlineLevel="0" collapsed="false">
      <c r="A27" s="44" t="s">
        <v>51</v>
      </c>
      <c r="B27" s="45" t="n">
        <v>0</v>
      </c>
      <c r="C27" s="45" t="n">
        <v>0</v>
      </c>
      <c r="D27" s="45" t="n">
        <v>9</v>
      </c>
      <c r="E27" s="45" t="n">
        <v>0</v>
      </c>
      <c r="F27" s="45" t="n">
        <v>0</v>
      </c>
      <c r="G27" s="45" t="n">
        <v>0</v>
      </c>
      <c r="H27" s="45" t="n">
        <v>0</v>
      </c>
      <c r="I27" s="45" t="n">
        <v>0</v>
      </c>
      <c r="J27" s="46" t="n">
        <f aca="false">SUMPRODUCT(B27:I27,$B$11:$I$11)</f>
        <v>9</v>
      </c>
      <c r="K27" s="50" t="n">
        <f aca="false">J27+J26</f>
        <v>16.5</v>
      </c>
      <c r="L27" s="51"/>
      <c r="M27" s="51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 customFormat="false" ht="14.25" hidden="false" customHeight="true" outlineLevel="0" collapsed="false">
      <c r="A28" s="44" t="s">
        <v>52</v>
      </c>
      <c r="B28" s="45" t="n">
        <v>0</v>
      </c>
      <c r="C28" s="45" t="n">
        <v>0</v>
      </c>
      <c r="D28" s="45" t="n">
        <v>5</v>
      </c>
      <c r="E28" s="45" t="n">
        <v>0</v>
      </c>
      <c r="F28" s="45" t="n">
        <v>0</v>
      </c>
      <c r="G28" s="45" t="n">
        <v>0</v>
      </c>
      <c r="H28" s="45" t="n">
        <v>0</v>
      </c>
      <c r="I28" s="45" t="n">
        <v>0</v>
      </c>
      <c r="J28" s="46" t="n">
        <f aca="false">SUMPRODUCT(B28:I28,$B$11:$I$11)</f>
        <v>5</v>
      </c>
      <c r="K28" s="47"/>
      <c r="L28" s="50"/>
      <c r="M28" s="50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 customFormat="false" ht="14.25" hidden="false" customHeight="true" outlineLevel="0" collapsed="false">
      <c r="A29" s="44" t="s">
        <v>53</v>
      </c>
      <c r="B29" s="45" t="n">
        <v>0</v>
      </c>
      <c r="C29" s="45" t="n">
        <v>0</v>
      </c>
      <c r="D29" s="45" t="n">
        <v>8</v>
      </c>
      <c r="E29" s="45" t="n">
        <v>0</v>
      </c>
      <c r="F29" s="45" t="n">
        <v>0</v>
      </c>
      <c r="G29" s="45" t="n">
        <v>0</v>
      </c>
      <c r="H29" s="45" t="n">
        <v>0</v>
      </c>
      <c r="I29" s="45" t="n">
        <v>0</v>
      </c>
      <c r="J29" s="46" t="n">
        <f aca="false">SUMPRODUCT(B29:I29,$B$11:$I$11)</f>
        <v>8</v>
      </c>
      <c r="K29" s="50" t="n">
        <f aca="false">J29+J28</f>
        <v>13</v>
      </c>
      <c r="L29" s="50" t="n">
        <f aca="false">SUM(J26:J29)</f>
        <v>29.5</v>
      </c>
      <c r="M29" s="50" t="n">
        <f aca="false">SUM(C26:I29)</f>
        <v>29</v>
      </c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 customFormat="false" ht="14.25" hidden="false" customHeight="true" outlineLevel="0" collapsed="false">
      <c r="A30" s="44" t="s">
        <v>54</v>
      </c>
      <c r="B30" s="45" t="n">
        <v>1</v>
      </c>
      <c r="C30" s="45" t="n">
        <v>0</v>
      </c>
      <c r="D30" s="45" t="n">
        <v>8</v>
      </c>
      <c r="E30" s="45" t="n">
        <v>0</v>
      </c>
      <c r="F30" s="45" t="n">
        <v>0</v>
      </c>
      <c r="G30" s="45" t="n">
        <v>0</v>
      </c>
      <c r="H30" s="45" t="n">
        <v>0</v>
      </c>
      <c r="I30" s="45" t="n">
        <v>0</v>
      </c>
      <c r="J30" s="46" t="n">
        <f aca="false">SUMPRODUCT(B30:I30,$B$11:$I$11)</f>
        <v>8.5</v>
      </c>
      <c r="K30" s="47"/>
      <c r="L30" s="47"/>
      <c r="M30" s="47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 customFormat="false" ht="14.25" hidden="false" customHeight="true" outlineLevel="0" collapsed="false">
      <c r="A31" s="44" t="s">
        <v>55</v>
      </c>
      <c r="B31" s="45" t="n">
        <v>0</v>
      </c>
      <c r="C31" s="45" t="n">
        <v>0</v>
      </c>
      <c r="D31" s="45" t="n">
        <v>10</v>
      </c>
      <c r="E31" s="45" t="n">
        <v>0</v>
      </c>
      <c r="F31" s="45" t="n">
        <v>0</v>
      </c>
      <c r="G31" s="45" t="n">
        <v>0</v>
      </c>
      <c r="H31" s="45" t="n">
        <v>0</v>
      </c>
      <c r="I31" s="45" t="n">
        <v>0</v>
      </c>
      <c r="J31" s="46" t="n">
        <f aca="false">SUMPRODUCT(B31:I31,$B$11:$I$11)</f>
        <v>10</v>
      </c>
      <c r="K31" s="50" t="n">
        <f aca="false">J31+J30</f>
        <v>18.5</v>
      </c>
      <c r="L31" s="51"/>
      <c r="M31" s="51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 customFormat="false" ht="14.25" hidden="false" customHeight="true" outlineLevel="0" collapsed="false">
      <c r="A32" s="44" t="s">
        <v>56</v>
      </c>
      <c r="B32" s="45" t="n">
        <v>0</v>
      </c>
      <c r="C32" s="45" t="n">
        <v>0</v>
      </c>
      <c r="D32" s="45" t="n">
        <v>7</v>
      </c>
      <c r="E32" s="45" t="n">
        <v>0</v>
      </c>
      <c r="F32" s="45" t="n">
        <v>0</v>
      </c>
      <c r="G32" s="45" t="n">
        <v>0</v>
      </c>
      <c r="H32" s="45" t="n">
        <v>0</v>
      </c>
      <c r="I32" s="45" t="n">
        <v>0</v>
      </c>
      <c r="J32" s="46" t="n">
        <f aca="false">SUMPRODUCT(B32:I32,$B$11:$I$11)</f>
        <v>7</v>
      </c>
      <c r="K32" s="47"/>
      <c r="L32" s="50"/>
      <c r="M32" s="50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 customFormat="false" ht="14.25" hidden="false" customHeight="true" outlineLevel="0" collapsed="false">
      <c r="A33" s="44" t="s">
        <v>57</v>
      </c>
      <c r="B33" s="45" t="n">
        <v>0</v>
      </c>
      <c r="C33" s="45" t="n">
        <v>0</v>
      </c>
      <c r="D33" s="45" t="n">
        <v>13</v>
      </c>
      <c r="E33" s="45" t="n">
        <v>0</v>
      </c>
      <c r="F33" s="45" t="n">
        <v>0</v>
      </c>
      <c r="G33" s="45" t="n">
        <v>0</v>
      </c>
      <c r="H33" s="45" t="n">
        <v>0</v>
      </c>
      <c r="I33" s="45" t="n">
        <v>0</v>
      </c>
      <c r="J33" s="46" t="n">
        <f aca="false">SUMPRODUCT(B33:I33,$B$11:$I$11)</f>
        <v>13</v>
      </c>
      <c r="K33" s="50" t="n">
        <f aca="false">J33+J32</f>
        <v>20</v>
      </c>
      <c r="L33" s="50" t="n">
        <f aca="false">SUM(J30:J33)</f>
        <v>38.5</v>
      </c>
      <c r="M33" s="50" t="n">
        <f aca="false">SUM(C30:I33)</f>
        <v>38</v>
      </c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 customFormat="false" ht="14.25" hidden="false" customHeight="true" outlineLevel="0" collapsed="false">
      <c r="A34" s="44" t="s">
        <v>58</v>
      </c>
      <c r="B34" s="45" t="n">
        <v>0</v>
      </c>
      <c r="C34" s="45" t="n">
        <v>0</v>
      </c>
      <c r="D34" s="45" t="n">
        <v>10</v>
      </c>
      <c r="E34" s="45" t="n">
        <v>0</v>
      </c>
      <c r="F34" s="45" t="n">
        <v>0</v>
      </c>
      <c r="G34" s="45" t="n">
        <v>0</v>
      </c>
      <c r="H34" s="45" t="n">
        <v>0</v>
      </c>
      <c r="I34" s="45" t="n">
        <v>0</v>
      </c>
      <c r="J34" s="46" t="n">
        <f aca="false">SUMPRODUCT(B34:I34,$B$11:$I$11)</f>
        <v>10</v>
      </c>
      <c r="K34" s="47"/>
      <c r="L34" s="47"/>
      <c r="M34" s="47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 customFormat="false" ht="14.25" hidden="false" customHeight="true" outlineLevel="0" collapsed="false">
      <c r="A35" s="44" t="s">
        <v>59</v>
      </c>
      <c r="B35" s="45" t="n">
        <v>0</v>
      </c>
      <c r="C35" s="45" t="n">
        <v>0</v>
      </c>
      <c r="D35" s="45" t="n">
        <v>8</v>
      </c>
      <c r="E35" s="45" t="n">
        <v>0</v>
      </c>
      <c r="F35" s="45" t="n">
        <v>0</v>
      </c>
      <c r="G35" s="45" t="n">
        <v>0</v>
      </c>
      <c r="H35" s="45" t="n">
        <v>0</v>
      </c>
      <c r="I35" s="45" t="n">
        <v>0</v>
      </c>
      <c r="J35" s="46" t="n">
        <f aca="false">SUMPRODUCT(B35:I35,$B$11:$I$11)</f>
        <v>8</v>
      </c>
      <c r="K35" s="50" t="n">
        <f aca="false">J35+J34</f>
        <v>18</v>
      </c>
      <c r="L35" s="51"/>
      <c r="M35" s="51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 customFormat="false" ht="14.25" hidden="false" customHeight="true" outlineLevel="0" collapsed="false">
      <c r="A36" s="44" t="s">
        <v>60</v>
      </c>
      <c r="B36" s="45" t="n">
        <v>0</v>
      </c>
      <c r="C36" s="45" t="n">
        <v>0</v>
      </c>
      <c r="D36" s="45" t="n">
        <v>13</v>
      </c>
      <c r="E36" s="45" t="n">
        <v>0</v>
      </c>
      <c r="F36" s="45" t="n">
        <v>0</v>
      </c>
      <c r="G36" s="45" t="n">
        <v>0</v>
      </c>
      <c r="H36" s="45" t="n">
        <v>0</v>
      </c>
      <c r="I36" s="45" t="n">
        <v>0</v>
      </c>
      <c r="J36" s="46" t="n">
        <f aca="false">SUMPRODUCT(B36:I36,$B$11:$I$11)</f>
        <v>13</v>
      </c>
      <c r="K36" s="47"/>
      <c r="L36" s="50"/>
      <c r="M36" s="50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 customFormat="false" ht="14.25" hidden="false" customHeight="true" outlineLevel="0" collapsed="false">
      <c r="A37" s="44" t="s">
        <v>61</v>
      </c>
      <c r="B37" s="45" t="n">
        <v>0</v>
      </c>
      <c r="C37" s="45" t="n">
        <v>0</v>
      </c>
      <c r="D37" s="45" t="n">
        <v>17</v>
      </c>
      <c r="E37" s="45" t="n">
        <v>0</v>
      </c>
      <c r="F37" s="45" t="n">
        <v>0</v>
      </c>
      <c r="G37" s="45" t="n">
        <v>0</v>
      </c>
      <c r="H37" s="45" t="n">
        <v>0</v>
      </c>
      <c r="I37" s="45" t="n">
        <v>0</v>
      </c>
      <c r="J37" s="46" t="n">
        <f aca="false">SUMPRODUCT(B37:I37,$B$11:$I$11)</f>
        <v>17</v>
      </c>
      <c r="K37" s="50" t="n">
        <f aca="false">J37+J36</f>
        <v>30</v>
      </c>
      <c r="L37" s="50" t="n">
        <f aca="false">SUM(J34:J37)</f>
        <v>48</v>
      </c>
      <c r="M37" s="50" t="n">
        <f aca="false">SUM(C34:I37)</f>
        <v>48</v>
      </c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 customFormat="false" ht="14.25" hidden="false" customHeight="true" outlineLevel="0" collapsed="false">
      <c r="A38" s="44" t="s">
        <v>62</v>
      </c>
      <c r="B38" s="45" t="n">
        <v>1</v>
      </c>
      <c r="C38" s="45" t="n">
        <v>0</v>
      </c>
      <c r="D38" s="45" t="n">
        <v>12</v>
      </c>
      <c r="E38" s="45" t="n">
        <v>0</v>
      </c>
      <c r="F38" s="45" t="n">
        <v>0</v>
      </c>
      <c r="G38" s="45" t="n">
        <v>0</v>
      </c>
      <c r="H38" s="45" t="n">
        <v>0</v>
      </c>
      <c r="I38" s="45" t="n">
        <v>0</v>
      </c>
      <c r="J38" s="46" t="n">
        <f aca="false">SUMPRODUCT(B38:I38,$B$11:$I$11)</f>
        <v>12.5</v>
      </c>
      <c r="K38" s="47"/>
      <c r="L38" s="47"/>
      <c r="M38" s="47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 customFormat="false" ht="14.25" hidden="false" customHeight="true" outlineLevel="0" collapsed="false">
      <c r="A39" s="44" t="s">
        <v>63</v>
      </c>
      <c r="B39" s="45" t="n">
        <v>1</v>
      </c>
      <c r="C39" s="45" t="n">
        <v>0</v>
      </c>
      <c r="D39" s="45" t="n">
        <v>13</v>
      </c>
      <c r="E39" s="45" t="n">
        <v>0</v>
      </c>
      <c r="F39" s="45" t="n">
        <v>0</v>
      </c>
      <c r="G39" s="45" t="n">
        <v>0</v>
      </c>
      <c r="H39" s="45" t="n">
        <v>0</v>
      </c>
      <c r="I39" s="45" t="n">
        <v>0</v>
      </c>
      <c r="J39" s="46" t="n">
        <f aca="false">SUMPRODUCT(B39:I39,$B$11:$I$11)</f>
        <v>13.5</v>
      </c>
      <c r="K39" s="50" t="n">
        <f aca="false">J39+J38</f>
        <v>26</v>
      </c>
      <c r="L39" s="51"/>
      <c r="M39" s="51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 customFormat="false" ht="14.25" hidden="false" customHeight="true" outlineLevel="0" collapsed="false">
      <c r="A40" s="44" t="s">
        <v>64</v>
      </c>
      <c r="B40" s="45" t="n">
        <v>0</v>
      </c>
      <c r="C40" s="45" t="n">
        <v>0</v>
      </c>
      <c r="D40" s="45" t="n">
        <v>5</v>
      </c>
      <c r="E40" s="45" t="n">
        <v>0</v>
      </c>
      <c r="F40" s="45" t="n">
        <v>0</v>
      </c>
      <c r="G40" s="45" t="n">
        <v>1</v>
      </c>
      <c r="H40" s="45" t="n">
        <v>0</v>
      </c>
      <c r="I40" s="45" t="n">
        <v>0</v>
      </c>
      <c r="J40" s="46" t="n">
        <f aca="false">SUMPRODUCT(B40:I40,$B$11:$I$11)</f>
        <v>6.5</v>
      </c>
      <c r="K40" s="47"/>
      <c r="L40" s="50"/>
      <c r="M40" s="50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 customFormat="false" ht="14.25" hidden="false" customHeight="true" outlineLevel="0" collapsed="false">
      <c r="A41" s="44" t="s">
        <v>65</v>
      </c>
      <c r="B41" s="45" t="n">
        <v>0</v>
      </c>
      <c r="C41" s="45" t="n">
        <v>0</v>
      </c>
      <c r="D41" s="45" t="n">
        <v>9</v>
      </c>
      <c r="E41" s="45" t="n">
        <v>0</v>
      </c>
      <c r="F41" s="45" t="n">
        <v>1</v>
      </c>
      <c r="G41" s="45" t="n">
        <v>0</v>
      </c>
      <c r="H41" s="45" t="n">
        <v>0</v>
      </c>
      <c r="I41" s="45" t="n">
        <v>0</v>
      </c>
      <c r="J41" s="46" t="n">
        <f aca="false">SUMPRODUCT(B41:I41,$B$11:$I$11)</f>
        <v>10.5</v>
      </c>
      <c r="K41" s="50" t="n">
        <f aca="false">J41+J40</f>
        <v>17</v>
      </c>
      <c r="L41" s="50" t="n">
        <f aca="false">SUM(J38:J41)</f>
        <v>43</v>
      </c>
      <c r="M41" s="50" t="n">
        <f aca="false">SUM(C38:I41)</f>
        <v>41</v>
      </c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 customFormat="false" ht="14.25" hidden="false" customHeight="true" outlineLevel="0" collapsed="false">
      <c r="A42" s="44" t="s">
        <v>66</v>
      </c>
      <c r="B42" s="45" t="n">
        <v>0</v>
      </c>
      <c r="C42" s="45" t="n">
        <v>0</v>
      </c>
      <c r="D42" s="45" t="n">
        <v>9</v>
      </c>
      <c r="E42" s="45" t="n">
        <v>0</v>
      </c>
      <c r="F42" s="45" t="n">
        <v>0</v>
      </c>
      <c r="G42" s="45" t="n">
        <v>0</v>
      </c>
      <c r="H42" s="45" t="n">
        <v>0</v>
      </c>
      <c r="I42" s="45" t="n">
        <v>0</v>
      </c>
      <c r="J42" s="46" t="n">
        <f aca="false">SUMPRODUCT(B42:I42,$B$11:$I$11)</f>
        <v>9</v>
      </c>
      <c r="K42" s="47"/>
      <c r="L42" s="47"/>
      <c r="M42" s="47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 customFormat="false" ht="14.25" hidden="false" customHeight="true" outlineLevel="0" collapsed="false">
      <c r="A43" s="44" t="s">
        <v>67</v>
      </c>
      <c r="B43" s="45" t="n">
        <v>0</v>
      </c>
      <c r="C43" s="45" t="n">
        <v>0</v>
      </c>
      <c r="D43" s="45" t="n">
        <v>4</v>
      </c>
      <c r="E43" s="45" t="n">
        <v>0</v>
      </c>
      <c r="F43" s="45" t="n">
        <v>0</v>
      </c>
      <c r="G43" s="45" t="n">
        <v>0</v>
      </c>
      <c r="H43" s="45" t="n">
        <v>0</v>
      </c>
      <c r="I43" s="45" t="n">
        <v>0</v>
      </c>
      <c r="J43" s="46" t="n">
        <f aca="false">SUMPRODUCT(B43:I43,$B$11:$I$11)</f>
        <v>4</v>
      </c>
      <c r="K43" s="50" t="n">
        <f aca="false">J43+J42</f>
        <v>13</v>
      </c>
      <c r="L43" s="51"/>
      <c r="M43" s="51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customFormat="false" ht="14.25" hidden="false" customHeight="true" outlineLevel="0" collapsed="false">
      <c r="A44" s="44" t="s">
        <v>68</v>
      </c>
      <c r="B44" s="45" t="n">
        <v>1</v>
      </c>
      <c r="C44" s="45" t="n">
        <v>0</v>
      </c>
      <c r="D44" s="45" t="n">
        <v>9</v>
      </c>
      <c r="E44" s="45" t="n">
        <v>0</v>
      </c>
      <c r="F44" s="45" t="n">
        <v>0</v>
      </c>
      <c r="G44" s="45" t="n">
        <v>0</v>
      </c>
      <c r="H44" s="45" t="n">
        <v>0</v>
      </c>
      <c r="I44" s="45" t="n">
        <v>0</v>
      </c>
      <c r="J44" s="46" t="n">
        <f aca="false">SUMPRODUCT(B44:I44,$B$11:$I$11)</f>
        <v>9.5</v>
      </c>
      <c r="K44" s="47"/>
      <c r="L44" s="50"/>
      <c r="M44" s="50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customFormat="false" ht="14.25" hidden="false" customHeight="true" outlineLevel="0" collapsed="false">
      <c r="A45" s="44" t="s">
        <v>69</v>
      </c>
      <c r="B45" s="45" t="n">
        <v>1</v>
      </c>
      <c r="C45" s="45" t="n">
        <v>0</v>
      </c>
      <c r="D45" s="45" t="n">
        <v>9</v>
      </c>
      <c r="E45" s="45" t="n">
        <v>0</v>
      </c>
      <c r="F45" s="45" t="n">
        <v>0</v>
      </c>
      <c r="G45" s="45" t="n">
        <v>0</v>
      </c>
      <c r="H45" s="45" t="n">
        <v>0</v>
      </c>
      <c r="I45" s="45" t="n">
        <v>0</v>
      </c>
      <c r="J45" s="46" t="n">
        <f aca="false">SUMPRODUCT(B45:I45,$B$11:$I$11)</f>
        <v>9.5</v>
      </c>
      <c r="K45" s="50" t="n">
        <f aca="false">J45+J44</f>
        <v>19</v>
      </c>
      <c r="L45" s="50" t="n">
        <f aca="false">SUM(J42:J45)</f>
        <v>32</v>
      </c>
      <c r="M45" s="50" t="n">
        <f aca="false">SUM(C42:I45)</f>
        <v>31</v>
      </c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 customFormat="false" ht="14.25" hidden="false" customHeight="true" outlineLevel="0" collapsed="false">
      <c r="A46" s="44" t="s">
        <v>70</v>
      </c>
      <c r="B46" s="45" t="n">
        <v>0</v>
      </c>
      <c r="C46" s="45" t="n">
        <v>0</v>
      </c>
      <c r="D46" s="45" t="n">
        <v>10</v>
      </c>
      <c r="E46" s="45" t="n">
        <v>0</v>
      </c>
      <c r="F46" s="45" t="n">
        <v>0</v>
      </c>
      <c r="G46" s="45" t="n">
        <v>0</v>
      </c>
      <c r="H46" s="45" t="n">
        <v>0</v>
      </c>
      <c r="I46" s="45" t="n">
        <v>0</v>
      </c>
      <c r="J46" s="46" t="n">
        <f aca="false">SUMPRODUCT(B46:I46,$B$11:$I$11)</f>
        <v>10</v>
      </c>
      <c r="K46" s="47"/>
      <c r="L46" s="47"/>
      <c r="M46" s="47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customFormat="false" ht="14.25" hidden="false" customHeight="true" outlineLevel="0" collapsed="false">
      <c r="A47" s="44" t="s">
        <v>71</v>
      </c>
      <c r="B47" s="45" t="n">
        <v>0</v>
      </c>
      <c r="C47" s="45" t="n">
        <v>0</v>
      </c>
      <c r="D47" s="45" t="n">
        <v>11</v>
      </c>
      <c r="E47" s="45" t="n">
        <v>0</v>
      </c>
      <c r="F47" s="45" t="n">
        <v>0</v>
      </c>
      <c r="G47" s="45" t="n">
        <v>1</v>
      </c>
      <c r="H47" s="45" t="n">
        <v>0</v>
      </c>
      <c r="I47" s="45" t="n">
        <v>0</v>
      </c>
      <c r="J47" s="46" t="n">
        <f aca="false">SUMPRODUCT(B47:I47,$B$11:$I$11)</f>
        <v>12.5</v>
      </c>
      <c r="K47" s="50" t="n">
        <f aca="false">J47+J46</f>
        <v>22.5</v>
      </c>
      <c r="L47" s="51"/>
      <c r="M47" s="51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 customFormat="false" ht="14.25" hidden="false" customHeight="true" outlineLevel="0" collapsed="false">
      <c r="A48" s="44" t="s">
        <v>72</v>
      </c>
      <c r="B48" s="45" t="n">
        <v>0</v>
      </c>
      <c r="C48" s="45" t="n">
        <v>0</v>
      </c>
      <c r="D48" s="45" t="n">
        <v>13</v>
      </c>
      <c r="E48" s="45" t="n">
        <v>0</v>
      </c>
      <c r="F48" s="45" t="n">
        <v>0</v>
      </c>
      <c r="G48" s="45" t="n">
        <v>0</v>
      </c>
      <c r="H48" s="45" t="n">
        <v>0</v>
      </c>
      <c r="I48" s="45" t="n">
        <v>0</v>
      </c>
      <c r="J48" s="46" t="n">
        <f aca="false">SUMPRODUCT(B48:I48,$B$11:$I$11)</f>
        <v>13</v>
      </c>
      <c r="K48" s="47"/>
      <c r="L48" s="50"/>
      <c r="M48" s="50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 customFormat="false" ht="14.25" hidden="false" customHeight="true" outlineLevel="0" collapsed="false">
      <c r="A49" s="44" t="s">
        <v>73</v>
      </c>
      <c r="B49" s="45" t="n">
        <v>0</v>
      </c>
      <c r="C49" s="45" t="n">
        <v>0</v>
      </c>
      <c r="D49" s="45" t="n">
        <v>6</v>
      </c>
      <c r="E49" s="45" t="n">
        <v>0</v>
      </c>
      <c r="F49" s="45" t="n">
        <v>0</v>
      </c>
      <c r="G49" s="45" t="n">
        <v>0</v>
      </c>
      <c r="H49" s="45" t="n">
        <v>0</v>
      </c>
      <c r="I49" s="45" t="n">
        <v>0</v>
      </c>
      <c r="J49" s="46" t="n">
        <f aca="false">SUMPRODUCT(B49:I49,$B$11:$I$11)</f>
        <v>6</v>
      </c>
      <c r="K49" s="50" t="n">
        <f aca="false">J49+J48</f>
        <v>19</v>
      </c>
      <c r="L49" s="50" t="n">
        <f aca="false">SUM(J46:J49)</f>
        <v>41.5</v>
      </c>
      <c r="M49" s="50" t="n">
        <f aca="false">SUM(C46:I49)</f>
        <v>41</v>
      </c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 customFormat="false" ht="14.25" hidden="false" customHeight="true" outlineLevel="0" collapsed="false">
      <c r="A50" s="44" t="s">
        <v>74</v>
      </c>
      <c r="B50" s="45" t="n">
        <v>0</v>
      </c>
      <c r="C50" s="45" t="n">
        <v>0</v>
      </c>
      <c r="D50" s="45" t="n">
        <v>12</v>
      </c>
      <c r="E50" s="45" t="n">
        <v>0</v>
      </c>
      <c r="F50" s="45" t="n">
        <v>0</v>
      </c>
      <c r="G50" s="45" t="n">
        <v>0</v>
      </c>
      <c r="H50" s="45" t="n">
        <v>0</v>
      </c>
      <c r="I50" s="45" t="n">
        <v>0</v>
      </c>
      <c r="J50" s="46" t="n">
        <f aca="false">SUMPRODUCT(B50:I50,$B$11:$I$11)</f>
        <v>12</v>
      </c>
      <c r="K50" s="47"/>
      <c r="L50" s="47"/>
      <c r="M50" s="47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 customFormat="false" ht="14.25" hidden="false" customHeight="true" outlineLevel="0" collapsed="false">
      <c r="A51" s="44" t="s">
        <v>75</v>
      </c>
      <c r="B51" s="45" t="n">
        <v>3</v>
      </c>
      <c r="C51" s="45" t="n">
        <v>0</v>
      </c>
      <c r="D51" s="45" t="n">
        <v>16</v>
      </c>
      <c r="E51" s="45" t="n">
        <v>0</v>
      </c>
      <c r="F51" s="45" t="n">
        <v>0</v>
      </c>
      <c r="G51" s="45" t="n">
        <v>1</v>
      </c>
      <c r="H51" s="45" t="n">
        <v>0</v>
      </c>
      <c r="I51" s="45" t="n">
        <v>0</v>
      </c>
      <c r="J51" s="46" t="n">
        <f aca="false">SUMPRODUCT(B51:I51,$B$11:$I$11)</f>
        <v>19</v>
      </c>
      <c r="K51" s="50" t="n">
        <f aca="false">J51+J50</f>
        <v>31</v>
      </c>
      <c r="L51" s="51"/>
      <c r="M51" s="51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 customFormat="false" ht="14.25" hidden="false" customHeight="true" outlineLevel="0" collapsed="false">
      <c r="A52" s="44" t="s">
        <v>76</v>
      </c>
      <c r="B52" s="45" t="n">
        <v>1</v>
      </c>
      <c r="C52" s="45" t="n">
        <v>0</v>
      </c>
      <c r="D52" s="45" t="n">
        <v>6</v>
      </c>
      <c r="E52" s="45" t="n">
        <v>0</v>
      </c>
      <c r="F52" s="45" t="n">
        <v>0</v>
      </c>
      <c r="G52" s="45" t="n">
        <v>0</v>
      </c>
      <c r="H52" s="45" t="n">
        <v>0</v>
      </c>
      <c r="I52" s="45" t="n">
        <v>0</v>
      </c>
      <c r="J52" s="46" t="n">
        <f aca="false">SUMPRODUCT(B52:I52,$B$11:$I$11)</f>
        <v>6.5</v>
      </c>
      <c r="K52" s="47"/>
      <c r="L52" s="50"/>
      <c r="M52" s="50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 customFormat="false" ht="14.25" hidden="false" customHeight="true" outlineLevel="0" collapsed="false">
      <c r="A53" s="44" t="s">
        <v>77</v>
      </c>
      <c r="B53" s="45" t="n">
        <v>0</v>
      </c>
      <c r="C53" s="45" t="n">
        <v>1</v>
      </c>
      <c r="D53" s="45" t="n">
        <v>17</v>
      </c>
      <c r="E53" s="45" t="n">
        <v>0</v>
      </c>
      <c r="F53" s="45" t="n">
        <v>0</v>
      </c>
      <c r="G53" s="45" t="n">
        <v>0</v>
      </c>
      <c r="H53" s="45" t="n">
        <v>0</v>
      </c>
      <c r="I53" s="45" t="n">
        <v>0</v>
      </c>
      <c r="J53" s="46" t="n">
        <f aca="false">SUMPRODUCT(B53:I53,$B$11:$I$11)</f>
        <v>18</v>
      </c>
      <c r="K53" s="52" t="n">
        <f aca="false">J53+J52</f>
        <v>24.5</v>
      </c>
      <c r="L53" s="50" t="n">
        <f aca="false">SUM(J50:J53)</f>
        <v>55.5</v>
      </c>
      <c r="M53" s="50" t="n">
        <f aca="false">SUM(C50:I53)</f>
        <v>53</v>
      </c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 customFormat="false" ht="14.25" hidden="false" customHeight="true" outlineLevel="0" collapsed="false">
      <c r="A54" s="44" t="s">
        <v>78</v>
      </c>
      <c r="B54" s="45" t="n">
        <v>1</v>
      </c>
      <c r="C54" s="45" t="n">
        <v>0</v>
      </c>
      <c r="D54" s="45" t="n">
        <v>14</v>
      </c>
      <c r="E54" s="45" t="n">
        <v>0</v>
      </c>
      <c r="F54" s="45" t="n">
        <v>0</v>
      </c>
      <c r="G54" s="45" t="n">
        <v>0</v>
      </c>
      <c r="H54" s="45" t="n">
        <v>0</v>
      </c>
      <c r="I54" s="45" t="n">
        <v>0</v>
      </c>
      <c r="J54" s="46" t="n">
        <f aca="false">SUMPRODUCT(B54:I54,$B$11:$I$11)</f>
        <v>14.5</v>
      </c>
      <c r="K54" s="47"/>
      <c r="L54" s="47"/>
      <c r="M54" s="47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 customFormat="false" ht="14.25" hidden="false" customHeight="true" outlineLevel="0" collapsed="false">
      <c r="A55" s="44" t="s">
        <v>79</v>
      </c>
      <c r="B55" s="45" t="n">
        <v>0</v>
      </c>
      <c r="C55" s="45" t="n">
        <v>1</v>
      </c>
      <c r="D55" s="45" t="n">
        <v>7</v>
      </c>
      <c r="E55" s="45" t="n">
        <v>0</v>
      </c>
      <c r="F55" s="45" t="n">
        <v>0</v>
      </c>
      <c r="G55" s="45" t="n">
        <v>0</v>
      </c>
      <c r="H55" s="45" t="n">
        <v>0</v>
      </c>
      <c r="I55" s="45" t="n">
        <v>0</v>
      </c>
      <c r="J55" s="46" t="n">
        <f aca="false">SUMPRODUCT(B55:I55,$B$11:$I$11)</f>
        <v>8</v>
      </c>
      <c r="K55" s="50" t="n">
        <f aca="false">J55+J54</f>
        <v>22.5</v>
      </c>
      <c r="L55" s="51"/>
      <c r="M55" s="51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 customFormat="false" ht="14.25" hidden="false" customHeight="true" outlineLevel="0" collapsed="false">
      <c r="A56" s="44" t="s">
        <v>80</v>
      </c>
      <c r="B56" s="45" t="n">
        <v>1</v>
      </c>
      <c r="C56" s="45" t="n">
        <v>2</v>
      </c>
      <c r="D56" s="45" t="n">
        <v>11</v>
      </c>
      <c r="E56" s="45" t="n">
        <v>0</v>
      </c>
      <c r="F56" s="45" t="n">
        <v>0</v>
      </c>
      <c r="G56" s="45" t="n">
        <v>1</v>
      </c>
      <c r="H56" s="45" t="n">
        <v>0</v>
      </c>
      <c r="I56" s="45" t="n">
        <v>0</v>
      </c>
      <c r="J56" s="46" t="n">
        <f aca="false">SUMPRODUCT(B56:I56,$B$11:$I$11)</f>
        <v>15</v>
      </c>
      <c r="K56" s="47"/>
      <c r="L56" s="50"/>
      <c r="M56" s="50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 customFormat="false" ht="14.25" hidden="false" customHeight="true" outlineLevel="0" collapsed="false">
      <c r="A57" s="44" t="s">
        <v>81</v>
      </c>
      <c r="B57" s="45" t="n">
        <v>2</v>
      </c>
      <c r="C57" s="45" t="n">
        <v>0</v>
      </c>
      <c r="D57" s="45" t="n">
        <v>15</v>
      </c>
      <c r="E57" s="45" t="n">
        <v>0</v>
      </c>
      <c r="F57" s="45" t="n">
        <v>0</v>
      </c>
      <c r="G57" s="45" t="n">
        <v>0</v>
      </c>
      <c r="H57" s="45" t="n">
        <v>0</v>
      </c>
      <c r="I57" s="45" t="n">
        <v>0</v>
      </c>
      <c r="J57" s="46" t="n">
        <f aca="false">SUMPRODUCT(B57:I57,$B$11:$I$11)</f>
        <v>16</v>
      </c>
      <c r="K57" s="50" t="n">
        <f aca="false">J57+J56</f>
        <v>31</v>
      </c>
      <c r="L57" s="50" t="n">
        <f aca="false">SUM(J54:J57)</f>
        <v>53.5</v>
      </c>
      <c r="M57" s="50" t="n">
        <f aca="false">SUM(C54:I57)</f>
        <v>51</v>
      </c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 customFormat="false" ht="14.25" hidden="false" customHeight="true" outlineLevel="0" collapsed="false">
      <c r="A58" s="44" t="s">
        <v>82</v>
      </c>
      <c r="B58" s="45" t="n">
        <v>1</v>
      </c>
      <c r="C58" s="45" t="n">
        <v>0</v>
      </c>
      <c r="D58" s="45" t="n">
        <v>17</v>
      </c>
      <c r="E58" s="45" t="n">
        <v>0</v>
      </c>
      <c r="F58" s="45" t="n">
        <v>0</v>
      </c>
      <c r="G58" s="45" t="n">
        <v>0</v>
      </c>
      <c r="H58" s="45" t="n">
        <v>0</v>
      </c>
      <c r="I58" s="45" t="n">
        <v>0</v>
      </c>
      <c r="J58" s="46" t="n">
        <f aca="false">SUMPRODUCT(B58:I58,$B$11:$I$11)</f>
        <v>17.5</v>
      </c>
      <c r="K58" s="47"/>
      <c r="L58" s="47"/>
      <c r="M58" s="47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 customFormat="false" ht="14.25" hidden="false" customHeight="true" outlineLevel="0" collapsed="false">
      <c r="A59" s="44" t="s">
        <v>83</v>
      </c>
      <c r="B59" s="45" t="n">
        <v>0</v>
      </c>
      <c r="C59" s="45" t="n">
        <v>1</v>
      </c>
      <c r="D59" s="45" t="n">
        <v>20</v>
      </c>
      <c r="E59" s="45" t="n">
        <v>0</v>
      </c>
      <c r="F59" s="45" t="n">
        <v>0</v>
      </c>
      <c r="G59" s="45" t="n">
        <v>0</v>
      </c>
      <c r="H59" s="45" t="n">
        <v>0</v>
      </c>
      <c r="I59" s="45" t="n">
        <v>0</v>
      </c>
      <c r="J59" s="46" t="n">
        <f aca="false">SUMPRODUCT(B59:I59,$B$11:$I$11)</f>
        <v>21</v>
      </c>
      <c r="K59" s="50" t="n">
        <f aca="false">J59+J58</f>
        <v>38.5</v>
      </c>
      <c r="L59" s="51"/>
      <c r="M59" s="51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 customFormat="false" ht="14.25" hidden="false" customHeight="true" outlineLevel="0" collapsed="false">
      <c r="A60" s="44" t="s">
        <v>84</v>
      </c>
      <c r="B60" s="45" t="n">
        <v>0</v>
      </c>
      <c r="C60" s="45" t="n">
        <v>0</v>
      </c>
      <c r="D60" s="45" t="n">
        <v>9</v>
      </c>
      <c r="E60" s="45" t="n">
        <v>0</v>
      </c>
      <c r="F60" s="45" t="n">
        <v>0</v>
      </c>
      <c r="G60" s="45" t="n">
        <v>0</v>
      </c>
      <c r="H60" s="45" t="n">
        <v>0</v>
      </c>
      <c r="I60" s="45" t="n">
        <v>0</v>
      </c>
      <c r="J60" s="46" t="n">
        <f aca="false">SUMPRODUCT(B60:I60,$B$11:$I$11)</f>
        <v>9</v>
      </c>
      <c r="K60" s="47"/>
      <c r="L60" s="50"/>
      <c r="M60" s="50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 customFormat="false" ht="14.25" hidden="false" customHeight="true" outlineLevel="0" collapsed="false">
      <c r="A61" s="44" t="s">
        <v>85</v>
      </c>
      <c r="B61" s="45" t="n">
        <v>1</v>
      </c>
      <c r="C61" s="45" t="n">
        <v>1</v>
      </c>
      <c r="D61" s="45" t="n">
        <v>12</v>
      </c>
      <c r="E61" s="45" t="n">
        <v>0</v>
      </c>
      <c r="F61" s="45" t="n">
        <v>0</v>
      </c>
      <c r="G61" s="45" t="n">
        <v>0</v>
      </c>
      <c r="H61" s="45" t="n">
        <v>0</v>
      </c>
      <c r="I61" s="45" t="n">
        <v>0</v>
      </c>
      <c r="J61" s="46" t="n">
        <f aca="false">SUMPRODUCT(B61:I61,$B$11:$I$11)</f>
        <v>13.5</v>
      </c>
      <c r="K61" s="50" t="n">
        <f aca="false">J61+J60</f>
        <v>22.5</v>
      </c>
      <c r="L61" s="50" t="n">
        <f aca="false">SUM(J58:J61)</f>
        <v>61</v>
      </c>
      <c r="M61" s="50" t="n">
        <f aca="false">SUM(C58:I61)</f>
        <v>60</v>
      </c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 customFormat="false" ht="14.25" hidden="false" customHeight="true" outlineLevel="0" collapsed="false">
      <c r="A62" s="44" t="s">
        <v>86</v>
      </c>
      <c r="B62" s="45" t="n">
        <v>0</v>
      </c>
      <c r="C62" s="45" t="n">
        <v>0</v>
      </c>
      <c r="D62" s="45" t="n">
        <v>13</v>
      </c>
      <c r="E62" s="45" t="n">
        <v>0</v>
      </c>
      <c r="F62" s="45" t="n">
        <v>0</v>
      </c>
      <c r="G62" s="45" t="n">
        <v>0</v>
      </c>
      <c r="H62" s="45" t="n">
        <v>0</v>
      </c>
      <c r="I62" s="45" t="n">
        <v>0</v>
      </c>
      <c r="J62" s="46" t="n">
        <f aca="false">SUMPRODUCT(B62:I62,$B$11:$I$11)</f>
        <v>13</v>
      </c>
      <c r="K62" s="47"/>
      <c r="L62" s="47"/>
      <c r="M62" s="47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 customFormat="false" ht="14.25" hidden="false" customHeight="true" outlineLevel="0" collapsed="false">
      <c r="A63" s="44" t="s">
        <v>87</v>
      </c>
      <c r="B63" s="45" t="n">
        <v>0</v>
      </c>
      <c r="C63" s="45" t="n">
        <v>0</v>
      </c>
      <c r="D63" s="45" t="n">
        <v>16</v>
      </c>
      <c r="E63" s="45" t="n">
        <v>0</v>
      </c>
      <c r="F63" s="45" t="n">
        <v>0</v>
      </c>
      <c r="G63" s="45" t="n">
        <v>0</v>
      </c>
      <c r="H63" s="45" t="n">
        <v>0</v>
      </c>
      <c r="I63" s="45" t="n">
        <v>0</v>
      </c>
      <c r="J63" s="46" t="n">
        <f aca="false">SUMPRODUCT(B63:I63,$B$11:$I$11)</f>
        <v>16</v>
      </c>
      <c r="K63" s="50" t="n">
        <f aca="false">J63+J62</f>
        <v>29</v>
      </c>
      <c r="L63" s="51"/>
      <c r="M63" s="51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 customFormat="false" ht="14.25" hidden="false" customHeight="true" outlineLevel="0" collapsed="false">
      <c r="A64" s="44" t="s">
        <v>88</v>
      </c>
      <c r="B64" s="45" t="n">
        <v>0</v>
      </c>
      <c r="C64" s="45" t="n">
        <v>1</v>
      </c>
      <c r="D64" s="45" t="n">
        <v>8</v>
      </c>
      <c r="E64" s="45" t="n">
        <v>0</v>
      </c>
      <c r="F64" s="45" t="n">
        <v>0</v>
      </c>
      <c r="G64" s="45" t="n">
        <v>0</v>
      </c>
      <c r="H64" s="45" t="n">
        <v>0</v>
      </c>
      <c r="I64" s="45" t="n">
        <v>0</v>
      </c>
      <c r="J64" s="46" t="n">
        <f aca="false">SUMPRODUCT(B64:I64,$B$11:$I$11)</f>
        <v>9</v>
      </c>
      <c r="K64" s="47"/>
      <c r="L64" s="50"/>
      <c r="M64" s="50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 customFormat="false" ht="14.25" hidden="false" customHeight="true" outlineLevel="0" collapsed="false">
      <c r="A65" s="44" t="s">
        <v>89</v>
      </c>
      <c r="B65" s="45" t="n">
        <v>1</v>
      </c>
      <c r="C65" s="45" t="n">
        <v>0</v>
      </c>
      <c r="D65" s="45" t="n">
        <v>11</v>
      </c>
      <c r="E65" s="45" t="n">
        <v>0</v>
      </c>
      <c r="F65" s="45" t="n">
        <v>1</v>
      </c>
      <c r="G65" s="45" t="n">
        <v>0</v>
      </c>
      <c r="H65" s="45" t="n">
        <v>0</v>
      </c>
      <c r="I65" s="45" t="n">
        <v>0</v>
      </c>
      <c r="J65" s="46" t="n">
        <f aca="false">SUMPRODUCT(B65:I65,$B$11:$I$11)</f>
        <v>13</v>
      </c>
      <c r="K65" s="50" t="n">
        <f aca="false">J65+J64</f>
        <v>22</v>
      </c>
      <c r="L65" s="50" t="n">
        <f aca="false">SUM(J62:J65)</f>
        <v>51</v>
      </c>
      <c r="M65" s="50" t="n">
        <f aca="false">SUM(C62:I65)</f>
        <v>50</v>
      </c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 customFormat="false" ht="14.25" hidden="false" customHeight="true" outlineLevel="0" collapsed="false">
      <c r="A66" s="44" t="s">
        <v>90</v>
      </c>
      <c r="B66" s="45" t="n">
        <v>0</v>
      </c>
      <c r="C66" s="45" t="n">
        <v>0</v>
      </c>
      <c r="D66" s="45" t="n">
        <v>2</v>
      </c>
      <c r="E66" s="45" t="n">
        <v>0</v>
      </c>
      <c r="F66" s="45" t="n">
        <v>0</v>
      </c>
      <c r="G66" s="45" t="n">
        <v>0</v>
      </c>
      <c r="H66" s="45" t="n">
        <v>0</v>
      </c>
      <c r="I66" s="45" t="n">
        <v>0</v>
      </c>
      <c r="J66" s="46" t="n">
        <f aca="false">SUMPRODUCT(B66:I66,$B$11:$I$11)</f>
        <v>2</v>
      </c>
      <c r="K66" s="47"/>
      <c r="L66" s="47"/>
      <c r="M66" s="47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 customFormat="false" ht="14.25" hidden="false" customHeight="true" outlineLevel="0" collapsed="false">
      <c r="A67" s="44" t="s">
        <v>91</v>
      </c>
      <c r="B67" s="45" t="n">
        <v>0</v>
      </c>
      <c r="C67" s="45" t="n">
        <v>0</v>
      </c>
      <c r="D67" s="45" t="n">
        <v>2</v>
      </c>
      <c r="E67" s="45" t="n">
        <v>0</v>
      </c>
      <c r="F67" s="45" t="n">
        <v>0</v>
      </c>
      <c r="G67" s="45" t="n">
        <v>0</v>
      </c>
      <c r="H67" s="45" t="n">
        <v>0</v>
      </c>
      <c r="I67" s="45" t="n">
        <v>0</v>
      </c>
      <c r="J67" s="46" t="n">
        <f aca="false">SUMPRODUCT(B67:I67,$B$11:$I$11)</f>
        <v>2</v>
      </c>
      <c r="K67" s="50" t="n">
        <f aca="false">J67+J66</f>
        <v>4</v>
      </c>
      <c r="L67" s="51"/>
      <c r="M67" s="53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 customFormat="false" ht="14.25" hidden="false" customHeight="true" outlineLevel="0" collapsed="false">
      <c r="A68" s="44" t="s">
        <v>92</v>
      </c>
      <c r="B68" s="45" t="n">
        <v>1</v>
      </c>
      <c r="C68" s="45" t="n">
        <v>0</v>
      </c>
      <c r="D68" s="45" t="n">
        <v>6</v>
      </c>
      <c r="E68" s="45" t="n">
        <v>0</v>
      </c>
      <c r="F68" s="45" t="n">
        <v>0</v>
      </c>
      <c r="G68" s="45" t="n">
        <v>0</v>
      </c>
      <c r="H68" s="45" t="n">
        <v>0</v>
      </c>
      <c r="I68" s="45" t="n">
        <v>0</v>
      </c>
      <c r="J68" s="46" t="n">
        <f aca="false">SUMPRODUCT(B68:I68,$B$11:$I$11)</f>
        <v>6.5</v>
      </c>
      <c r="K68" s="47"/>
      <c r="L68" s="50"/>
      <c r="M68" s="50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 customFormat="false" ht="14.25" hidden="false" customHeight="true" outlineLevel="0" collapsed="false">
      <c r="A69" s="44" t="s">
        <v>93</v>
      </c>
      <c r="B69" s="45" t="n">
        <v>0</v>
      </c>
      <c r="C69" s="45" t="n">
        <v>1</v>
      </c>
      <c r="D69" s="45" t="n">
        <v>7</v>
      </c>
      <c r="E69" s="45" t="n">
        <v>0</v>
      </c>
      <c r="F69" s="45" t="n">
        <v>0</v>
      </c>
      <c r="G69" s="45" t="n">
        <v>0</v>
      </c>
      <c r="H69" s="45" t="n">
        <v>0</v>
      </c>
      <c r="I69" s="45" t="n">
        <v>0</v>
      </c>
      <c r="J69" s="46" t="n">
        <f aca="false">SUMPRODUCT(B69:I69,$B$11:$I$11)</f>
        <v>8</v>
      </c>
      <c r="K69" s="52" t="n">
        <f aca="false">J69+J68</f>
        <v>14.5</v>
      </c>
      <c r="L69" s="52" t="n">
        <f aca="false">SUM(J66:J69)</f>
        <v>18.5</v>
      </c>
      <c r="M69" s="52" t="n">
        <f aca="false">SUM(C66:I69)</f>
        <v>18</v>
      </c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 customFormat="false" ht="14.25" hidden="false" customHeight="true" outlineLevel="0" collapsed="false">
      <c r="A70" s="54" t="s">
        <v>94</v>
      </c>
      <c r="B70" s="3" t="n">
        <f aca="false">SUM(B14:B69)</f>
        <v>21</v>
      </c>
      <c r="C70" s="3" t="n">
        <f aca="false">SUM(C14:C69)</f>
        <v>8</v>
      </c>
      <c r="D70" s="3" t="n">
        <f aca="false">SUM(D14:D69)</f>
        <v>570</v>
      </c>
      <c r="E70" s="3" t="n">
        <f aca="false">SUM(E14:E69)</f>
        <v>1</v>
      </c>
      <c r="F70" s="3" t="n">
        <f aca="false">SUM(F14:F69)</f>
        <v>2</v>
      </c>
      <c r="G70" s="3" t="n">
        <f aca="false">SUM(G14:G69)</f>
        <v>5</v>
      </c>
      <c r="H70" s="3" t="n">
        <f aca="false">SUM(H14:H69)</f>
        <v>1</v>
      </c>
      <c r="I70" s="3" t="n">
        <f aca="false">SUM(I14:I69)</f>
        <v>0</v>
      </c>
      <c r="J70" s="3" t="n">
        <f aca="false">SUM(J14:J69)</f>
        <v>602.5</v>
      </c>
      <c r="K70" s="3"/>
      <c r="L70" s="3"/>
      <c r="M70" s="3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4.25" hidden="false" customHeight="true" outlineLevel="0" collapsed="false"/>
    <row r="72" customFormat="false" ht="14.25" hidden="false" customHeight="true" outlineLevel="0" collapsed="false">
      <c r="B72" s="55"/>
      <c r="C72" s="55"/>
      <c r="D72" s="55"/>
      <c r="E72" s="55"/>
      <c r="F72" s="55"/>
      <c r="G72" s="55"/>
      <c r="H72" s="55"/>
      <c r="I72" s="55"/>
    </row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3">
    <mergeCell ref="A3:M3"/>
    <mergeCell ref="A4:M4"/>
    <mergeCell ref="K6:M6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14.48"/>
    <col collapsed="false" customWidth="true" hidden="false" outlineLevel="0" max="9" min="2" style="1" width="6.94"/>
    <col collapsed="false" customWidth="true" hidden="false" outlineLevel="0" max="13" min="10" style="1" width="7.5"/>
    <col collapsed="false" customWidth="true" hidden="false" outlineLevel="0" max="31" min="14" style="1" width="13.28"/>
    <col collapsed="false" customWidth="true" hidden="false" outlineLevel="0" max="257" min="32" style="1" width="15.97"/>
  </cols>
  <sheetData>
    <row r="1" customFormat="false" ht="14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2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9.35" hidden="false" customHeight="true" outlineLevel="0" collapsed="false">
      <c r="A3" s="17" t="s">
        <v>0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7" hidden="false" customHeight="true" outlineLevel="0" collapsed="false">
      <c r="A4" s="18" t="s">
        <v>12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4.25" hidden="false" customHeight="true" outlineLevel="0" collapsed="false">
      <c r="A5" s="19" t="s">
        <v>6</v>
      </c>
      <c r="B5" s="20"/>
      <c r="C5" s="21"/>
      <c r="D5" s="22"/>
      <c r="E5" s="22"/>
      <c r="F5" s="20"/>
      <c r="G5" s="23"/>
      <c r="H5" s="23"/>
      <c r="I5" s="21"/>
      <c r="J5" s="22" t="s">
        <v>3</v>
      </c>
      <c r="K5" s="20" t="n">
        <v>0</v>
      </c>
      <c r="L5" s="24"/>
      <c r="M5" s="25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20" hidden="false" customHeight="false" outlineLevel="0" collapsed="false">
      <c r="A6" s="26" t="n">
        <f aca="false">'Deckbl.'!I11</f>
        <v>45036</v>
      </c>
      <c r="B6" s="3"/>
      <c r="C6" s="2"/>
      <c r="D6" s="2"/>
      <c r="E6" s="3"/>
      <c r="F6" s="3"/>
      <c r="G6" s="3"/>
      <c r="H6" s="3"/>
      <c r="I6" s="2"/>
      <c r="J6" s="7" t="s">
        <v>9</v>
      </c>
      <c r="K6" s="27" t="str">
        <f aca="false">'Deckbl.'!I12</f>
        <v>morgens leichter Regen, dann Sonne, 5-17°</v>
      </c>
      <c r="L6" s="27"/>
      <c r="M6" s="2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4.25" hidden="false" customHeight="true" outlineLevel="0" collapsed="false">
      <c r="A7" s="28"/>
      <c r="B7" s="7" t="s">
        <v>13</v>
      </c>
      <c r="C7" s="29" t="str">
        <f aca="false">'Deckbl.'!C8</f>
        <v>Sandleiten / Schulstraße / Parkstraße (Pregarten)</v>
      </c>
      <c r="D7" s="30"/>
      <c r="E7" s="31"/>
      <c r="F7" s="31"/>
      <c r="G7" s="31"/>
      <c r="H7" s="31"/>
      <c r="I7" s="32"/>
      <c r="J7" s="29"/>
      <c r="K7" s="31"/>
      <c r="L7" s="31"/>
      <c r="M7" s="33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4.25" hidden="false" customHeight="true" outlineLevel="0" collapsed="false">
      <c r="A8" s="28"/>
      <c r="B8" s="7" t="s">
        <v>14</v>
      </c>
      <c r="C8" s="30"/>
      <c r="D8" s="30"/>
      <c r="E8" s="31"/>
      <c r="F8" s="31"/>
      <c r="G8" s="31"/>
      <c r="H8" s="31"/>
      <c r="I8" s="32" t="s">
        <v>7</v>
      </c>
      <c r="J8" s="29" t="s">
        <v>8</v>
      </c>
      <c r="K8" s="34"/>
      <c r="L8" s="31"/>
      <c r="M8" s="33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4.25" hidden="false" customHeight="true" outlineLevel="0" collapsed="false">
      <c r="A9" s="28"/>
      <c r="B9" s="7" t="s">
        <v>15</v>
      </c>
      <c r="C9" s="35" t="s">
        <v>99</v>
      </c>
      <c r="D9" s="4"/>
      <c r="E9" s="3"/>
      <c r="F9" s="3"/>
      <c r="G9" s="3"/>
      <c r="H9" s="3"/>
      <c r="I9" s="7" t="s">
        <v>17</v>
      </c>
      <c r="J9" s="29" t="str">
        <f aca="false">'Deckbl.'!C11</f>
        <v>6-20</v>
      </c>
      <c r="K9" s="31"/>
      <c r="L9" s="31"/>
      <c r="M9" s="33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4.25" hidden="false" customHeight="true" outlineLevel="0" collapsed="false">
      <c r="A10" s="28"/>
      <c r="B10" s="32" t="s">
        <v>18</v>
      </c>
      <c r="C10" s="36"/>
      <c r="D10" s="30"/>
      <c r="E10" s="31"/>
      <c r="F10" s="31"/>
      <c r="G10" s="31"/>
      <c r="H10" s="31"/>
      <c r="I10" s="32" t="s">
        <v>19</v>
      </c>
      <c r="J10" s="29"/>
      <c r="K10" s="31"/>
      <c r="L10" s="29"/>
      <c r="M10" s="33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4.25" hidden="false" customHeight="true" outlineLevel="0" collapsed="false">
      <c r="A11" s="37" t="s">
        <v>20</v>
      </c>
      <c r="B11" s="38" t="n">
        <v>0.5</v>
      </c>
      <c r="C11" s="38" t="n">
        <v>1</v>
      </c>
      <c r="D11" s="38" t="n">
        <f aca="false">'Faktoren PKW-E'!B16</f>
        <v>1</v>
      </c>
      <c r="E11" s="38" t="n">
        <v>1.5</v>
      </c>
      <c r="F11" s="38" t="n">
        <v>1.5</v>
      </c>
      <c r="G11" s="38" t="n">
        <v>1.5</v>
      </c>
      <c r="H11" s="38" t="n">
        <v>2</v>
      </c>
      <c r="I11" s="38" t="n">
        <v>1.5</v>
      </c>
      <c r="J11" s="39"/>
      <c r="K11" s="39"/>
      <c r="L11" s="39"/>
      <c r="M11" s="39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4.25" hidden="false" customHeight="true" outlineLevel="0" collapsed="false">
      <c r="A12" s="40"/>
      <c r="B12" s="19"/>
      <c r="C12" s="41" t="s">
        <v>21</v>
      </c>
      <c r="D12" s="19" t="s">
        <v>22</v>
      </c>
      <c r="E12" s="41" t="s">
        <v>23</v>
      </c>
      <c r="F12" s="41" t="s">
        <v>24</v>
      </c>
      <c r="G12" s="41"/>
      <c r="H12" s="41" t="s">
        <v>25</v>
      </c>
      <c r="I12" s="41" t="s">
        <v>26</v>
      </c>
      <c r="J12" s="42" t="s">
        <v>27</v>
      </c>
      <c r="K12" s="42" t="s">
        <v>27</v>
      </c>
      <c r="L12" s="42" t="s">
        <v>27</v>
      </c>
      <c r="M12" s="42" t="s">
        <v>28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4.25" hidden="false" customHeight="true" outlineLevel="0" collapsed="false">
      <c r="A13" s="43" t="s">
        <v>29</v>
      </c>
      <c r="B13" s="41" t="s">
        <v>30</v>
      </c>
      <c r="C13" s="41" t="s">
        <v>28</v>
      </c>
      <c r="D13" s="41" t="s">
        <v>31</v>
      </c>
      <c r="E13" s="41" t="s">
        <v>32</v>
      </c>
      <c r="F13" s="41" t="s">
        <v>32</v>
      </c>
      <c r="G13" s="41" t="s">
        <v>33</v>
      </c>
      <c r="H13" s="41" t="s">
        <v>34</v>
      </c>
      <c r="I13" s="41" t="s">
        <v>28</v>
      </c>
      <c r="J13" s="42" t="s">
        <v>35</v>
      </c>
      <c r="K13" s="42" t="s">
        <v>36</v>
      </c>
      <c r="L13" s="42" t="s">
        <v>37</v>
      </c>
      <c r="M13" s="42" t="s">
        <v>37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4.25" hidden="false" customHeight="true" outlineLevel="0" collapsed="false">
      <c r="A14" s="44" t="s">
        <v>38</v>
      </c>
      <c r="B14" s="45" t="n">
        <v>0</v>
      </c>
      <c r="C14" s="45" t="n">
        <v>0</v>
      </c>
      <c r="D14" s="45" t="n">
        <v>0</v>
      </c>
      <c r="E14" s="45" t="n">
        <v>0</v>
      </c>
      <c r="F14" s="45" t="n">
        <v>0</v>
      </c>
      <c r="G14" s="45" t="n">
        <v>0</v>
      </c>
      <c r="H14" s="45" t="n">
        <v>0</v>
      </c>
      <c r="I14" s="45" t="n">
        <v>0</v>
      </c>
      <c r="J14" s="46" t="n">
        <f aca="false">SUMPRODUCT(B14:I14,$B$11:$I$11)</f>
        <v>0</v>
      </c>
      <c r="K14" s="47"/>
      <c r="L14" s="47"/>
      <c r="M14" s="47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 customFormat="false" ht="14.25" hidden="false" customHeight="true" outlineLevel="0" collapsed="false">
      <c r="A15" s="44" t="s">
        <v>39</v>
      </c>
      <c r="B15" s="45" t="n">
        <v>0</v>
      </c>
      <c r="C15" s="45" t="n">
        <v>0</v>
      </c>
      <c r="D15" s="45" t="n">
        <v>1</v>
      </c>
      <c r="E15" s="45" t="n">
        <v>0</v>
      </c>
      <c r="F15" s="45" t="n">
        <v>0</v>
      </c>
      <c r="G15" s="45" t="n">
        <v>0</v>
      </c>
      <c r="H15" s="45" t="n">
        <v>0</v>
      </c>
      <c r="I15" s="45" t="n">
        <v>0</v>
      </c>
      <c r="J15" s="46" t="n">
        <f aca="false">SUMPRODUCT(B15:I15,$B$11:$I$11)</f>
        <v>1</v>
      </c>
      <c r="K15" s="50" t="n">
        <f aca="false">J15+J14</f>
        <v>1</v>
      </c>
      <c r="L15" s="51"/>
      <c r="M15" s="51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customFormat="false" ht="14.25" hidden="false" customHeight="true" outlineLevel="0" collapsed="false">
      <c r="A16" s="44" t="s">
        <v>40</v>
      </c>
      <c r="B16" s="45" t="n">
        <v>0</v>
      </c>
      <c r="C16" s="45" t="n">
        <v>0</v>
      </c>
      <c r="D16" s="45" t="n">
        <v>0</v>
      </c>
      <c r="E16" s="45" t="n">
        <v>0</v>
      </c>
      <c r="F16" s="45" t="n">
        <v>0</v>
      </c>
      <c r="G16" s="45" t="n">
        <v>0</v>
      </c>
      <c r="H16" s="45" t="n">
        <v>0</v>
      </c>
      <c r="I16" s="45" t="n">
        <v>0</v>
      </c>
      <c r="J16" s="46" t="n">
        <f aca="false">SUMPRODUCT(B16:I16,$B$11:$I$11)</f>
        <v>0</v>
      </c>
      <c r="K16" s="47"/>
      <c r="L16" s="50"/>
      <c r="M16" s="50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 customFormat="false" ht="14.25" hidden="false" customHeight="true" outlineLevel="0" collapsed="false">
      <c r="A17" s="44" t="s">
        <v>41</v>
      </c>
      <c r="B17" s="45" t="n">
        <v>0</v>
      </c>
      <c r="C17" s="45" t="n">
        <v>0</v>
      </c>
      <c r="D17" s="45" t="n">
        <v>1</v>
      </c>
      <c r="E17" s="45" t="n">
        <v>0</v>
      </c>
      <c r="F17" s="45" t="n">
        <v>0</v>
      </c>
      <c r="G17" s="45" t="n">
        <v>0</v>
      </c>
      <c r="H17" s="45" t="n">
        <v>0</v>
      </c>
      <c r="I17" s="45" t="n">
        <v>0</v>
      </c>
      <c r="J17" s="46" t="n">
        <f aca="false">SUMPRODUCT(B17:I17,$B$11:$I$11)</f>
        <v>1</v>
      </c>
      <c r="K17" s="50" t="n">
        <f aca="false">J17+J16</f>
        <v>1</v>
      </c>
      <c r="L17" s="50" t="n">
        <f aca="false">SUM(J14:J17)</f>
        <v>2</v>
      </c>
      <c r="M17" s="50" t="n">
        <f aca="false">SUM(C14:I17)</f>
        <v>2</v>
      </c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 customFormat="false" ht="14.25" hidden="false" customHeight="true" outlineLevel="0" collapsed="false">
      <c r="A18" s="44" t="s">
        <v>42</v>
      </c>
      <c r="B18" s="45" t="n">
        <v>0</v>
      </c>
      <c r="C18" s="45" t="n">
        <v>0</v>
      </c>
      <c r="D18" s="45" t="n">
        <v>1</v>
      </c>
      <c r="E18" s="45" t="n">
        <v>0</v>
      </c>
      <c r="F18" s="45" t="n">
        <v>0</v>
      </c>
      <c r="G18" s="45" t="n">
        <v>0</v>
      </c>
      <c r="H18" s="45" t="n">
        <v>0</v>
      </c>
      <c r="I18" s="45" t="n">
        <v>0</v>
      </c>
      <c r="J18" s="46" t="n">
        <f aca="false">SUMPRODUCT(B18:I18,$B$11:$I$11)</f>
        <v>1</v>
      </c>
      <c r="K18" s="47"/>
      <c r="L18" s="47"/>
      <c r="M18" s="47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 customFormat="false" ht="14.25" hidden="false" customHeight="true" outlineLevel="0" collapsed="false">
      <c r="A19" s="44" t="s">
        <v>43</v>
      </c>
      <c r="B19" s="45" t="n">
        <v>0</v>
      </c>
      <c r="C19" s="45" t="n">
        <v>0</v>
      </c>
      <c r="D19" s="45" t="n">
        <v>2</v>
      </c>
      <c r="E19" s="45" t="n">
        <v>0</v>
      </c>
      <c r="F19" s="45" t="n">
        <v>0</v>
      </c>
      <c r="G19" s="45" t="n">
        <v>0</v>
      </c>
      <c r="H19" s="45" t="n">
        <v>0</v>
      </c>
      <c r="I19" s="45" t="n">
        <v>0</v>
      </c>
      <c r="J19" s="46" t="n">
        <f aca="false">SUMPRODUCT(B19:I19,$B$11:$I$11)</f>
        <v>2</v>
      </c>
      <c r="K19" s="50" t="n">
        <f aca="false">J19+J18</f>
        <v>3</v>
      </c>
      <c r="L19" s="51"/>
      <c r="M19" s="51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 customFormat="false" ht="14.25" hidden="false" customHeight="true" outlineLevel="0" collapsed="false">
      <c r="A20" s="44" t="s">
        <v>44</v>
      </c>
      <c r="B20" s="45" t="n">
        <v>1</v>
      </c>
      <c r="C20" s="45" t="n">
        <v>0</v>
      </c>
      <c r="D20" s="45" t="n">
        <v>1</v>
      </c>
      <c r="E20" s="45" t="n">
        <v>0</v>
      </c>
      <c r="F20" s="45" t="n">
        <v>0</v>
      </c>
      <c r="G20" s="45" t="n">
        <v>0</v>
      </c>
      <c r="H20" s="45" t="n">
        <v>0</v>
      </c>
      <c r="I20" s="45" t="n">
        <v>0</v>
      </c>
      <c r="J20" s="46" t="n">
        <f aca="false">SUMPRODUCT(B20:I20,$B$11:$I$11)</f>
        <v>1.5</v>
      </c>
      <c r="K20" s="47"/>
      <c r="L20" s="50"/>
      <c r="M20" s="50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 customFormat="false" ht="14.25" hidden="false" customHeight="true" outlineLevel="0" collapsed="false">
      <c r="A21" s="44" t="s">
        <v>45</v>
      </c>
      <c r="B21" s="45" t="n">
        <v>0</v>
      </c>
      <c r="C21" s="45" t="n">
        <v>0</v>
      </c>
      <c r="D21" s="45" t="n">
        <v>4</v>
      </c>
      <c r="E21" s="45" t="n">
        <v>0</v>
      </c>
      <c r="F21" s="45" t="n">
        <v>0</v>
      </c>
      <c r="G21" s="45" t="n">
        <v>0</v>
      </c>
      <c r="H21" s="45" t="n">
        <v>0</v>
      </c>
      <c r="I21" s="45" t="n">
        <v>0</v>
      </c>
      <c r="J21" s="46" t="n">
        <f aca="false">SUMPRODUCT(B21:I21,$B$11:$I$11)</f>
        <v>4</v>
      </c>
      <c r="K21" s="50" t="n">
        <f aca="false">J21+J20</f>
        <v>5.5</v>
      </c>
      <c r="L21" s="50" t="n">
        <f aca="false">SUM(J18:J21)</f>
        <v>8.5</v>
      </c>
      <c r="M21" s="50" t="n">
        <f aca="false">SUM(C18:I21)</f>
        <v>8</v>
      </c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 customFormat="false" ht="14.25" hidden="false" customHeight="true" outlineLevel="0" collapsed="false">
      <c r="A22" s="44" t="s">
        <v>46</v>
      </c>
      <c r="B22" s="45" t="n">
        <v>0</v>
      </c>
      <c r="C22" s="45" t="n">
        <v>0</v>
      </c>
      <c r="D22" s="45" t="n">
        <v>0</v>
      </c>
      <c r="E22" s="45" t="n">
        <v>0</v>
      </c>
      <c r="F22" s="45" t="n">
        <v>0</v>
      </c>
      <c r="G22" s="45" t="n">
        <v>0</v>
      </c>
      <c r="H22" s="45" t="n">
        <v>0</v>
      </c>
      <c r="I22" s="45" t="n">
        <v>0</v>
      </c>
      <c r="J22" s="46" t="n">
        <f aca="false">SUMPRODUCT(B22:I22,$B$11:$I$11)</f>
        <v>0</v>
      </c>
      <c r="K22" s="47"/>
      <c r="L22" s="47"/>
      <c r="M22" s="47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 customFormat="false" ht="14.25" hidden="false" customHeight="true" outlineLevel="0" collapsed="false">
      <c r="A23" s="44" t="s">
        <v>47</v>
      </c>
      <c r="B23" s="45" t="n">
        <v>0</v>
      </c>
      <c r="C23" s="45" t="n">
        <v>0</v>
      </c>
      <c r="D23" s="45" t="n">
        <v>2</v>
      </c>
      <c r="E23" s="45" t="n">
        <v>0</v>
      </c>
      <c r="F23" s="45" t="n">
        <v>0</v>
      </c>
      <c r="G23" s="45" t="n">
        <v>1</v>
      </c>
      <c r="H23" s="45" t="n">
        <v>0</v>
      </c>
      <c r="I23" s="45" t="n">
        <v>0</v>
      </c>
      <c r="J23" s="46" t="n">
        <f aca="false">SUMPRODUCT(B23:I23,$B$11:$I$11)</f>
        <v>3.5</v>
      </c>
      <c r="K23" s="50" t="n">
        <f aca="false">J23+J22</f>
        <v>3.5</v>
      </c>
      <c r="L23" s="51"/>
      <c r="M23" s="51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 customFormat="false" ht="14.25" hidden="false" customHeight="true" outlineLevel="0" collapsed="false">
      <c r="A24" s="44" t="s">
        <v>48</v>
      </c>
      <c r="B24" s="45" t="n">
        <v>0</v>
      </c>
      <c r="C24" s="45" t="n">
        <v>0</v>
      </c>
      <c r="D24" s="45" t="n">
        <v>2</v>
      </c>
      <c r="E24" s="45" t="n">
        <v>0</v>
      </c>
      <c r="F24" s="45" t="n">
        <v>0</v>
      </c>
      <c r="G24" s="45" t="n">
        <v>1</v>
      </c>
      <c r="H24" s="45" t="n">
        <v>0</v>
      </c>
      <c r="I24" s="45" t="n">
        <v>0</v>
      </c>
      <c r="J24" s="46" t="n">
        <f aca="false">SUMPRODUCT(B24:I24,$B$11:$I$11)</f>
        <v>3.5</v>
      </c>
      <c r="K24" s="47"/>
      <c r="L24" s="50"/>
      <c r="M24" s="50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 customFormat="false" ht="14.25" hidden="false" customHeight="true" outlineLevel="0" collapsed="false">
      <c r="A25" s="44" t="s">
        <v>49</v>
      </c>
      <c r="B25" s="45" t="n">
        <v>0</v>
      </c>
      <c r="C25" s="45" t="n">
        <v>0</v>
      </c>
      <c r="D25" s="45" t="n">
        <v>0</v>
      </c>
      <c r="E25" s="45" t="n">
        <v>0</v>
      </c>
      <c r="F25" s="45" t="n">
        <v>0</v>
      </c>
      <c r="G25" s="45" t="n">
        <v>0</v>
      </c>
      <c r="H25" s="45" t="n">
        <v>0</v>
      </c>
      <c r="I25" s="45" t="n">
        <v>0</v>
      </c>
      <c r="J25" s="46" t="n">
        <f aca="false">SUMPRODUCT(B25:I25,$B$11:$I$11)</f>
        <v>0</v>
      </c>
      <c r="K25" s="50" t="n">
        <f aca="false">J25+J24</f>
        <v>3.5</v>
      </c>
      <c r="L25" s="50" t="n">
        <f aca="false">SUM(J22:J25)</f>
        <v>7</v>
      </c>
      <c r="M25" s="50" t="n">
        <f aca="false">SUM(C22:I25)</f>
        <v>6</v>
      </c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 customFormat="false" ht="14.25" hidden="false" customHeight="true" outlineLevel="0" collapsed="false">
      <c r="A26" s="44" t="s">
        <v>50</v>
      </c>
      <c r="B26" s="45" t="n">
        <v>0</v>
      </c>
      <c r="C26" s="45" t="n">
        <v>0</v>
      </c>
      <c r="D26" s="45" t="n">
        <v>0</v>
      </c>
      <c r="E26" s="45" t="n">
        <v>0</v>
      </c>
      <c r="F26" s="45" t="n">
        <v>0</v>
      </c>
      <c r="G26" s="45" t="n">
        <v>0</v>
      </c>
      <c r="H26" s="45" t="n">
        <v>0</v>
      </c>
      <c r="I26" s="45" t="n">
        <v>0</v>
      </c>
      <c r="J26" s="46" t="n">
        <f aca="false">SUMPRODUCT(B26:I26,$B$11:$I$11)</f>
        <v>0</v>
      </c>
      <c r="K26" s="47"/>
      <c r="L26" s="47"/>
      <c r="M26" s="47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 customFormat="false" ht="14.25" hidden="false" customHeight="true" outlineLevel="0" collapsed="false">
      <c r="A27" s="44" t="s">
        <v>51</v>
      </c>
      <c r="B27" s="45" t="n">
        <v>0</v>
      </c>
      <c r="C27" s="45" t="n">
        <v>0</v>
      </c>
      <c r="D27" s="45" t="n">
        <v>2</v>
      </c>
      <c r="E27" s="45" t="n">
        <v>0</v>
      </c>
      <c r="F27" s="45" t="n">
        <v>0</v>
      </c>
      <c r="G27" s="45" t="n">
        <v>0</v>
      </c>
      <c r="H27" s="45" t="n">
        <v>0</v>
      </c>
      <c r="I27" s="45" t="n">
        <v>0</v>
      </c>
      <c r="J27" s="46" t="n">
        <f aca="false">SUMPRODUCT(B27:I27,$B$11:$I$11)</f>
        <v>2</v>
      </c>
      <c r="K27" s="50" t="n">
        <f aca="false">J27+J26</f>
        <v>2</v>
      </c>
      <c r="L27" s="51"/>
      <c r="M27" s="51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 customFormat="false" ht="14.25" hidden="false" customHeight="true" outlineLevel="0" collapsed="false">
      <c r="A28" s="44" t="s">
        <v>52</v>
      </c>
      <c r="B28" s="45" t="n">
        <v>0</v>
      </c>
      <c r="C28" s="45" t="n">
        <v>0</v>
      </c>
      <c r="D28" s="45" t="n">
        <v>0</v>
      </c>
      <c r="E28" s="45" t="n">
        <v>0</v>
      </c>
      <c r="F28" s="45" t="n">
        <v>0</v>
      </c>
      <c r="G28" s="45" t="n">
        <v>0</v>
      </c>
      <c r="H28" s="45" t="n">
        <v>0</v>
      </c>
      <c r="I28" s="45" t="n">
        <v>0</v>
      </c>
      <c r="J28" s="46" t="n">
        <f aca="false">SUMPRODUCT(B28:I28,$B$11:$I$11)</f>
        <v>0</v>
      </c>
      <c r="K28" s="47"/>
      <c r="L28" s="50"/>
      <c r="M28" s="50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 customFormat="false" ht="14.25" hidden="false" customHeight="true" outlineLevel="0" collapsed="false">
      <c r="A29" s="44" t="s">
        <v>53</v>
      </c>
      <c r="B29" s="45" t="n">
        <v>0</v>
      </c>
      <c r="C29" s="45" t="n">
        <v>0</v>
      </c>
      <c r="D29" s="45" t="n">
        <v>0</v>
      </c>
      <c r="E29" s="45" t="n">
        <v>0</v>
      </c>
      <c r="F29" s="45" t="n">
        <v>0</v>
      </c>
      <c r="G29" s="45" t="n">
        <v>0</v>
      </c>
      <c r="H29" s="45" t="n">
        <v>0</v>
      </c>
      <c r="I29" s="45" t="n">
        <v>0</v>
      </c>
      <c r="J29" s="46" t="n">
        <f aca="false">SUMPRODUCT(B29:I29,$B$11:$I$11)</f>
        <v>0</v>
      </c>
      <c r="K29" s="50" t="n">
        <f aca="false">J29+J28</f>
        <v>0</v>
      </c>
      <c r="L29" s="50" t="n">
        <f aca="false">SUM(J26:J29)</f>
        <v>2</v>
      </c>
      <c r="M29" s="50" t="n">
        <f aca="false">SUM(C26:I29)</f>
        <v>2</v>
      </c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 customFormat="false" ht="14.25" hidden="false" customHeight="true" outlineLevel="0" collapsed="false">
      <c r="A30" s="44" t="s">
        <v>54</v>
      </c>
      <c r="B30" s="45" t="n">
        <v>0</v>
      </c>
      <c r="C30" s="45" t="n">
        <v>0</v>
      </c>
      <c r="D30" s="45" t="n">
        <v>2</v>
      </c>
      <c r="E30" s="45" t="n">
        <v>0</v>
      </c>
      <c r="F30" s="45" t="n">
        <v>0</v>
      </c>
      <c r="G30" s="45" t="n">
        <v>0</v>
      </c>
      <c r="H30" s="45" t="n">
        <v>0</v>
      </c>
      <c r="I30" s="45" t="n">
        <v>0</v>
      </c>
      <c r="J30" s="46" t="n">
        <f aca="false">SUMPRODUCT(B30:I30,$B$11:$I$11)</f>
        <v>2</v>
      </c>
      <c r="K30" s="47"/>
      <c r="L30" s="47"/>
      <c r="M30" s="47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 customFormat="false" ht="14.25" hidden="false" customHeight="true" outlineLevel="0" collapsed="false">
      <c r="A31" s="44" t="s">
        <v>55</v>
      </c>
      <c r="B31" s="45" t="n">
        <v>0</v>
      </c>
      <c r="C31" s="45" t="n">
        <v>0</v>
      </c>
      <c r="D31" s="45" t="n">
        <v>1</v>
      </c>
      <c r="E31" s="45" t="n">
        <v>0</v>
      </c>
      <c r="F31" s="45" t="n">
        <v>0</v>
      </c>
      <c r="G31" s="45" t="n">
        <v>0</v>
      </c>
      <c r="H31" s="45" t="n">
        <v>0</v>
      </c>
      <c r="I31" s="45" t="n">
        <v>0</v>
      </c>
      <c r="J31" s="46" t="n">
        <f aca="false">SUMPRODUCT(B31:I31,$B$11:$I$11)</f>
        <v>1</v>
      </c>
      <c r="K31" s="50" t="n">
        <f aca="false">J31+J30</f>
        <v>3</v>
      </c>
      <c r="L31" s="51"/>
      <c r="M31" s="51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 customFormat="false" ht="14.25" hidden="false" customHeight="true" outlineLevel="0" collapsed="false">
      <c r="A32" s="44" t="s">
        <v>56</v>
      </c>
      <c r="B32" s="45" t="n">
        <v>0</v>
      </c>
      <c r="C32" s="45" t="n">
        <v>0</v>
      </c>
      <c r="D32" s="45" t="n">
        <v>1</v>
      </c>
      <c r="E32" s="45" t="n">
        <v>0</v>
      </c>
      <c r="F32" s="45" t="n">
        <v>0</v>
      </c>
      <c r="G32" s="45" t="n">
        <v>0</v>
      </c>
      <c r="H32" s="45" t="n">
        <v>0</v>
      </c>
      <c r="I32" s="45" t="n">
        <v>0</v>
      </c>
      <c r="J32" s="46" t="n">
        <f aca="false">SUMPRODUCT(B32:I32,$B$11:$I$11)</f>
        <v>1</v>
      </c>
      <c r="K32" s="47"/>
      <c r="L32" s="50"/>
      <c r="M32" s="50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 customFormat="false" ht="14.25" hidden="false" customHeight="true" outlineLevel="0" collapsed="false">
      <c r="A33" s="44" t="s">
        <v>57</v>
      </c>
      <c r="B33" s="45" t="n">
        <v>0</v>
      </c>
      <c r="C33" s="45" t="n">
        <v>0</v>
      </c>
      <c r="D33" s="45" t="n">
        <v>2</v>
      </c>
      <c r="E33" s="45" t="n">
        <v>0</v>
      </c>
      <c r="F33" s="45" t="n">
        <v>0</v>
      </c>
      <c r="G33" s="45" t="n">
        <v>0</v>
      </c>
      <c r="H33" s="45" t="n">
        <v>0</v>
      </c>
      <c r="I33" s="45" t="n">
        <v>0</v>
      </c>
      <c r="J33" s="46" t="n">
        <f aca="false">SUMPRODUCT(B33:I33,$B$11:$I$11)</f>
        <v>2</v>
      </c>
      <c r="K33" s="50" t="n">
        <f aca="false">J33+J32</f>
        <v>3</v>
      </c>
      <c r="L33" s="50" t="n">
        <f aca="false">SUM(J30:J33)</f>
        <v>6</v>
      </c>
      <c r="M33" s="50" t="n">
        <f aca="false">SUM(C30:I33)</f>
        <v>6</v>
      </c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 customFormat="false" ht="14.25" hidden="false" customHeight="true" outlineLevel="0" collapsed="false">
      <c r="A34" s="44" t="s">
        <v>58</v>
      </c>
      <c r="B34" s="45" t="n">
        <v>0</v>
      </c>
      <c r="C34" s="45" t="n">
        <v>0</v>
      </c>
      <c r="D34" s="45" t="n">
        <v>0</v>
      </c>
      <c r="E34" s="45" t="n">
        <v>0</v>
      </c>
      <c r="F34" s="45" t="n">
        <v>0</v>
      </c>
      <c r="G34" s="45" t="n">
        <v>0</v>
      </c>
      <c r="H34" s="45" t="n">
        <v>0</v>
      </c>
      <c r="I34" s="45" t="n">
        <v>0</v>
      </c>
      <c r="J34" s="46" t="n">
        <f aca="false">SUMPRODUCT(B34:I34,$B$11:$I$11)</f>
        <v>0</v>
      </c>
      <c r="K34" s="47"/>
      <c r="L34" s="47"/>
      <c r="M34" s="47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 customFormat="false" ht="14.25" hidden="false" customHeight="true" outlineLevel="0" collapsed="false">
      <c r="A35" s="44" t="s">
        <v>59</v>
      </c>
      <c r="B35" s="45" t="n">
        <v>0</v>
      </c>
      <c r="C35" s="45" t="n">
        <v>0</v>
      </c>
      <c r="D35" s="45" t="n">
        <v>2</v>
      </c>
      <c r="E35" s="45" t="n">
        <v>0</v>
      </c>
      <c r="F35" s="45" t="n">
        <v>0</v>
      </c>
      <c r="G35" s="45" t="n">
        <v>0</v>
      </c>
      <c r="H35" s="45" t="n">
        <v>0</v>
      </c>
      <c r="I35" s="45" t="n">
        <v>0</v>
      </c>
      <c r="J35" s="46" t="n">
        <f aca="false">SUMPRODUCT(B35:I35,$B$11:$I$11)</f>
        <v>2</v>
      </c>
      <c r="K35" s="50" t="n">
        <f aca="false">J35+J34</f>
        <v>2</v>
      </c>
      <c r="L35" s="51"/>
      <c r="M35" s="51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 customFormat="false" ht="14.25" hidden="false" customHeight="true" outlineLevel="0" collapsed="false">
      <c r="A36" s="44" t="s">
        <v>60</v>
      </c>
      <c r="B36" s="45" t="n">
        <v>0</v>
      </c>
      <c r="C36" s="45" t="n">
        <v>0</v>
      </c>
      <c r="D36" s="45" t="n">
        <v>2</v>
      </c>
      <c r="E36" s="45" t="n">
        <v>0</v>
      </c>
      <c r="F36" s="45" t="n">
        <v>0</v>
      </c>
      <c r="G36" s="45" t="n">
        <v>0</v>
      </c>
      <c r="H36" s="45" t="n">
        <v>1</v>
      </c>
      <c r="I36" s="45" t="n">
        <v>0</v>
      </c>
      <c r="J36" s="46" t="n">
        <f aca="false">SUMPRODUCT(B36:I36,$B$11:$I$11)</f>
        <v>4</v>
      </c>
      <c r="K36" s="47"/>
      <c r="L36" s="50"/>
      <c r="M36" s="50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 customFormat="false" ht="14.25" hidden="false" customHeight="true" outlineLevel="0" collapsed="false">
      <c r="A37" s="44" t="s">
        <v>61</v>
      </c>
      <c r="B37" s="45" t="n">
        <v>0</v>
      </c>
      <c r="C37" s="45" t="n">
        <v>0</v>
      </c>
      <c r="D37" s="45" t="n">
        <v>0</v>
      </c>
      <c r="E37" s="45" t="n">
        <v>0</v>
      </c>
      <c r="F37" s="45" t="n">
        <v>0</v>
      </c>
      <c r="G37" s="45" t="n">
        <v>2</v>
      </c>
      <c r="H37" s="45" t="n">
        <v>0</v>
      </c>
      <c r="I37" s="45" t="n">
        <v>1</v>
      </c>
      <c r="J37" s="46" t="n">
        <f aca="false">SUMPRODUCT(B37:I37,$B$11:$I$11)</f>
        <v>4.5</v>
      </c>
      <c r="K37" s="50" t="n">
        <f aca="false">J37+J36</f>
        <v>8.5</v>
      </c>
      <c r="L37" s="50" t="n">
        <f aca="false">SUM(J34:J37)</f>
        <v>10.5</v>
      </c>
      <c r="M37" s="50" t="n">
        <f aca="false">SUM(C34:I37)</f>
        <v>8</v>
      </c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 customFormat="false" ht="14.25" hidden="false" customHeight="true" outlineLevel="0" collapsed="false">
      <c r="A38" s="44" t="s">
        <v>62</v>
      </c>
      <c r="B38" s="45" t="n">
        <v>1</v>
      </c>
      <c r="C38" s="45" t="n">
        <v>0</v>
      </c>
      <c r="D38" s="45" t="n">
        <v>2</v>
      </c>
      <c r="E38" s="45" t="n">
        <v>0</v>
      </c>
      <c r="F38" s="45" t="n">
        <v>0</v>
      </c>
      <c r="G38" s="45" t="n">
        <v>0</v>
      </c>
      <c r="H38" s="45" t="n">
        <v>0</v>
      </c>
      <c r="I38" s="45" t="n">
        <v>0</v>
      </c>
      <c r="J38" s="46" t="n">
        <f aca="false">SUMPRODUCT(B38:I38,$B$11:$I$11)</f>
        <v>2.5</v>
      </c>
      <c r="K38" s="47"/>
      <c r="L38" s="47"/>
      <c r="M38" s="47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 customFormat="false" ht="14.25" hidden="false" customHeight="true" outlineLevel="0" collapsed="false">
      <c r="A39" s="44" t="s">
        <v>63</v>
      </c>
      <c r="B39" s="45" t="n">
        <v>1</v>
      </c>
      <c r="C39" s="45" t="n">
        <v>0</v>
      </c>
      <c r="D39" s="45" t="n">
        <v>2</v>
      </c>
      <c r="E39" s="45" t="n">
        <v>0</v>
      </c>
      <c r="F39" s="45" t="n">
        <v>0</v>
      </c>
      <c r="G39" s="45" t="n">
        <v>0</v>
      </c>
      <c r="H39" s="45" t="n">
        <v>0</v>
      </c>
      <c r="I39" s="45" t="n">
        <v>0</v>
      </c>
      <c r="J39" s="46" t="n">
        <f aca="false">SUMPRODUCT(B39:I39,$B$11:$I$11)</f>
        <v>2.5</v>
      </c>
      <c r="K39" s="50" t="n">
        <f aca="false">J39+J38</f>
        <v>5</v>
      </c>
      <c r="L39" s="51"/>
      <c r="M39" s="51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 customFormat="false" ht="14.25" hidden="false" customHeight="true" outlineLevel="0" collapsed="false">
      <c r="A40" s="44" t="s">
        <v>64</v>
      </c>
      <c r="B40" s="45" t="n">
        <v>0</v>
      </c>
      <c r="C40" s="45" t="n">
        <v>0</v>
      </c>
      <c r="D40" s="45" t="n">
        <v>7</v>
      </c>
      <c r="E40" s="45" t="n">
        <v>0</v>
      </c>
      <c r="F40" s="45" t="n">
        <v>0</v>
      </c>
      <c r="G40" s="45" t="n">
        <v>0</v>
      </c>
      <c r="H40" s="45" t="n">
        <v>0</v>
      </c>
      <c r="I40" s="45" t="n">
        <v>0</v>
      </c>
      <c r="J40" s="46" t="n">
        <f aca="false">SUMPRODUCT(B40:I40,$B$11:$I$11)</f>
        <v>7</v>
      </c>
      <c r="K40" s="47"/>
      <c r="L40" s="50"/>
      <c r="M40" s="50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 customFormat="false" ht="14.25" hidden="false" customHeight="true" outlineLevel="0" collapsed="false">
      <c r="A41" s="44" t="s">
        <v>65</v>
      </c>
      <c r="B41" s="45" t="n">
        <v>0</v>
      </c>
      <c r="C41" s="45" t="n">
        <v>0</v>
      </c>
      <c r="D41" s="45" t="n">
        <v>3</v>
      </c>
      <c r="E41" s="45" t="n">
        <v>0</v>
      </c>
      <c r="F41" s="45" t="n">
        <v>0</v>
      </c>
      <c r="G41" s="45" t="n">
        <v>1</v>
      </c>
      <c r="H41" s="45" t="n">
        <v>0</v>
      </c>
      <c r="I41" s="45" t="n">
        <v>0</v>
      </c>
      <c r="J41" s="46" t="n">
        <f aca="false">SUMPRODUCT(B41:I41,$B$11:$I$11)</f>
        <v>4.5</v>
      </c>
      <c r="K41" s="50" t="n">
        <f aca="false">J41+J40</f>
        <v>11.5</v>
      </c>
      <c r="L41" s="50" t="n">
        <f aca="false">SUM(J38:J41)</f>
        <v>16.5</v>
      </c>
      <c r="M41" s="50" t="n">
        <f aca="false">SUM(C38:I41)</f>
        <v>15</v>
      </c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 customFormat="false" ht="14.25" hidden="false" customHeight="true" outlineLevel="0" collapsed="false">
      <c r="A42" s="44" t="s">
        <v>66</v>
      </c>
      <c r="B42" s="45" t="n">
        <v>0</v>
      </c>
      <c r="C42" s="45" t="n">
        <v>0</v>
      </c>
      <c r="D42" s="45" t="n">
        <v>1</v>
      </c>
      <c r="E42" s="45" t="n">
        <v>0</v>
      </c>
      <c r="F42" s="45" t="n">
        <v>0</v>
      </c>
      <c r="G42" s="45" t="n">
        <v>0</v>
      </c>
      <c r="H42" s="45" t="n">
        <v>0</v>
      </c>
      <c r="I42" s="45" t="n">
        <v>0</v>
      </c>
      <c r="J42" s="46" t="n">
        <f aca="false">SUMPRODUCT(B42:I42,$B$11:$I$11)</f>
        <v>1</v>
      </c>
      <c r="K42" s="47"/>
      <c r="L42" s="47"/>
      <c r="M42" s="47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 customFormat="false" ht="14.25" hidden="false" customHeight="true" outlineLevel="0" collapsed="false">
      <c r="A43" s="44" t="s">
        <v>67</v>
      </c>
      <c r="B43" s="45" t="n">
        <v>0</v>
      </c>
      <c r="C43" s="45" t="n">
        <v>0</v>
      </c>
      <c r="D43" s="45" t="n">
        <v>0</v>
      </c>
      <c r="E43" s="45" t="n">
        <v>0</v>
      </c>
      <c r="F43" s="45" t="n">
        <v>0</v>
      </c>
      <c r="G43" s="45" t="n">
        <v>0</v>
      </c>
      <c r="H43" s="45" t="n">
        <v>0</v>
      </c>
      <c r="I43" s="45" t="n">
        <v>0</v>
      </c>
      <c r="J43" s="46" t="n">
        <f aca="false">SUMPRODUCT(B43:I43,$B$11:$I$11)</f>
        <v>0</v>
      </c>
      <c r="K43" s="50" t="n">
        <f aca="false">J43+J42</f>
        <v>1</v>
      </c>
      <c r="L43" s="51"/>
      <c r="M43" s="51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customFormat="false" ht="14.25" hidden="false" customHeight="true" outlineLevel="0" collapsed="false">
      <c r="A44" s="44" t="s">
        <v>68</v>
      </c>
      <c r="B44" s="45" t="n">
        <v>0</v>
      </c>
      <c r="C44" s="45" t="n">
        <v>0</v>
      </c>
      <c r="D44" s="45" t="n">
        <v>0</v>
      </c>
      <c r="E44" s="45" t="n">
        <v>0</v>
      </c>
      <c r="F44" s="45" t="n">
        <v>0</v>
      </c>
      <c r="G44" s="45" t="n">
        <v>1</v>
      </c>
      <c r="H44" s="45" t="n">
        <v>0</v>
      </c>
      <c r="I44" s="45" t="n">
        <v>0</v>
      </c>
      <c r="J44" s="46" t="n">
        <f aca="false">SUMPRODUCT(B44:I44,$B$11:$I$11)</f>
        <v>1.5</v>
      </c>
      <c r="K44" s="47"/>
      <c r="L44" s="50"/>
      <c r="M44" s="50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customFormat="false" ht="14.25" hidden="false" customHeight="true" outlineLevel="0" collapsed="false">
      <c r="A45" s="44" t="s">
        <v>69</v>
      </c>
      <c r="B45" s="45" t="n">
        <v>0</v>
      </c>
      <c r="C45" s="45" t="n">
        <v>0</v>
      </c>
      <c r="D45" s="45" t="n">
        <v>0</v>
      </c>
      <c r="E45" s="45" t="n">
        <v>0</v>
      </c>
      <c r="F45" s="45" t="n">
        <v>0</v>
      </c>
      <c r="G45" s="45" t="n">
        <v>0</v>
      </c>
      <c r="H45" s="45" t="n">
        <v>0</v>
      </c>
      <c r="I45" s="45" t="n">
        <v>0</v>
      </c>
      <c r="J45" s="46" t="n">
        <f aca="false">SUMPRODUCT(B45:I45,$B$11:$I$11)</f>
        <v>0</v>
      </c>
      <c r="K45" s="50" t="n">
        <f aca="false">J45+J44</f>
        <v>1.5</v>
      </c>
      <c r="L45" s="50" t="n">
        <f aca="false">SUM(J42:J45)</f>
        <v>2.5</v>
      </c>
      <c r="M45" s="50" t="n">
        <f aca="false">SUM(C42:I45)</f>
        <v>2</v>
      </c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 customFormat="false" ht="14.25" hidden="false" customHeight="true" outlineLevel="0" collapsed="false">
      <c r="A46" s="44" t="s">
        <v>70</v>
      </c>
      <c r="B46" s="45" t="n">
        <v>0</v>
      </c>
      <c r="C46" s="45" t="n">
        <v>0</v>
      </c>
      <c r="D46" s="45" t="n">
        <v>1</v>
      </c>
      <c r="E46" s="45" t="n">
        <v>0</v>
      </c>
      <c r="F46" s="45" t="n">
        <v>0</v>
      </c>
      <c r="G46" s="45" t="n">
        <v>0</v>
      </c>
      <c r="H46" s="45" t="n">
        <v>0</v>
      </c>
      <c r="I46" s="45" t="n">
        <v>1</v>
      </c>
      <c r="J46" s="46" t="n">
        <f aca="false">SUMPRODUCT(B46:I46,$B$11:$I$11)</f>
        <v>2.5</v>
      </c>
      <c r="K46" s="47"/>
      <c r="L46" s="47"/>
      <c r="M46" s="47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customFormat="false" ht="14.25" hidden="false" customHeight="true" outlineLevel="0" collapsed="false">
      <c r="A47" s="44" t="s">
        <v>71</v>
      </c>
      <c r="B47" s="45" t="n">
        <v>0</v>
      </c>
      <c r="C47" s="45" t="n">
        <v>0</v>
      </c>
      <c r="D47" s="45" t="n">
        <v>2</v>
      </c>
      <c r="E47" s="45" t="n">
        <v>0</v>
      </c>
      <c r="F47" s="45" t="n">
        <v>0</v>
      </c>
      <c r="G47" s="45" t="n">
        <v>0</v>
      </c>
      <c r="H47" s="45" t="n">
        <v>1</v>
      </c>
      <c r="I47" s="45" t="n">
        <v>0</v>
      </c>
      <c r="J47" s="46" t="n">
        <f aca="false">SUMPRODUCT(B47:I47,$B$11:$I$11)</f>
        <v>4</v>
      </c>
      <c r="K47" s="50" t="n">
        <f aca="false">J47+J46</f>
        <v>6.5</v>
      </c>
      <c r="L47" s="51"/>
      <c r="M47" s="51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 customFormat="false" ht="14.25" hidden="false" customHeight="true" outlineLevel="0" collapsed="false">
      <c r="A48" s="44" t="s">
        <v>72</v>
      </c>
      <c r="B48" s="45" t="n">
        <v>0</v>
      </c>
      <c r="C48" s="45" t="n">
        <v>0</v>
      </c>
      <c r="D48" s="45" t="n">
        <v>4</v>
      </c>
      <c r="E48" s="45" t="n">
        <v>0</v>
      </c>
      <c r="F48" s="45" t="n">
        <v>0</v>
      </c>
      <c r="G48" s="45" t="n">
        <v>0</v>
      </c>
      <c r="H48" s="45" t="n">
        <v>0</v>
      </c>
      <c r="I48" s="45" t="n">
        <v>0</v>
      </c>
      <c r="J48" s="46" t="n">
        <f aca="false">SUMPRODUCT(B48:I48,$B$11:$I$11)</f>
        <v>4</v>
      </c>
      <c r="K48" s="47"/>
      <c r="L48" s="50"/>
      <c r="M48" s="50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 customFormat="false" ht="14.25" hidden="false" customHeight="true" outlineLevel="0" collapsed="false">
      <c r="A49" s="44" t="s">
        <v>73</v>
      </c>
      <c r="B49" s="45" t="n">
        <v>0</v>
      </c>
      <c r="C49" s="45" t="n">
        <v>0</v>
      </c>
      <c r="D49" s="45" t="n">
        <v>2</v>
      </c>
      <c r="E49" s="45" t="n">
        <v>0</v>
      </c>
      <c r="F49" s="45" t="n">
        <v>0</v>
      </c>
      <c r="G49" s="45" t="n">
        <v>0</v>
      </c>
      <c r="H49" s="45" t="n">
        <v>0</v>
      </c>
      <c r="I49" s="45" t="n">
        <v>0</v>
      </c>
      <c r="J49" s="46" t="n">
        <f aca="false">SUMPRODUCT(B49:I49,$B$11:$I$11)</f>
        <v>2</v>
      </c>
      <c r="K49" s="50" t="n">
        <f aca="false">J49+J48</f>
        <v>6</v>
      </c>
      <c r="L49" s="50" t="n">
        <f aca="false">SUM(J46:J49)</f>
        <v>12.5</v>
      </c>
      <c r="M49" s="50" t="n">
        <f aca="false">SUM(C46:I49)</f>
        <v>11</v>
      </c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 customFormat="false" ht="14.25" hidden="false" customHeight="true" outlineLevel="0" collapsed="false">
      <c r="A50" s="44" t="s">
        <v>74</v>
      </c>
      <c r="B50" s="45" t="n">
        <v>0</v>
      </c>
      <c r="C50" s="45" t="n">
        <v>0</v>
      </c>
      <c r="D50" s="45" t="n">
        <v>2</v>
      </c>
      <c r="E50" s="45" t="n">
        <v>0</v>
      </c>
      <c r="F50" s="45" t="n">
        <v>0</v>
      </c>
      <c r="G50" s="45" t="n">
        <v>0</v>
      </c>
      <c r="H50" s="45" t="n">
        <v>0</v>
      </c>
      <c r="I50" s="45" t="n">
        <v>0</v>
      </c>
      <c r="J50" s="46" t="n">
        <f aca="false">SUMPRODUCT(B50:I50,$B$11:$I$11)</f>
        <v>2</v>
      </c>
      <c r="K50" s="47"/>
      <c r="L50" s="47"/>
      <c r="M50" s="47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 customFormat="false" ht="14.25" hidden="false" customHeight="true" outlineLevel="0" collapsed="false">
      <c r="A51" s="44" t="s">
        <v>75</v>
      </c>
      <c r="B51" s="45" t="n">
        <v>1</v>
      </c>
      <c r="C51" s="45" t="n">
        <v>0</v>
      </c>
      <c r="D51" s="45" t="n">
        <v>1</v>
      </c>
      <c r="E51" s="45" t="n">
        <v>0</v>
      </c>
      <c r="F51" s="45" t="n">
        <v>0</v>
      </c>
      <c r="G51" s="45" t="n">
        <v>0</v>
      </c>
      <c r="H51" s="45" t="n">
        <v>0</v>
      </c>
      <c r="I51" s="45" t="n">
        <v>0</v>
      </c>
      <c r="J51" s="46" t="n">
        <f aca="false">SUMPRODUCT(B51:I51,$B$11:$I$11)</f>
        <v>1.5</v>
      </c>
      <c r="K51" s="50" t="n">
        <f aca="false">J51+J50</f>
        <v>3.5</v>
      </c>
      <c r="L51" s="51"/>
      <c r="M51" s="51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 customFormat="false" ht="14.25" hidden="false" customHeight="true" outlineLevel="0" collapsed="false">
      <c r="A52" s="44" t="s">
        <v>76</v>
      </c>
      <c r="B52" s="45" t="n">
        <v>0</v>
      </c>
      <c r="C52" s="45" t="n">
        <v>0</v>
      </c>
      <c r="D52" s="45" t="n">
        <v>2</v>
      </c>
      <c r="E52" s="45" t="n">
        <v>0</v>
      </c>
      <c r="F52" s="45" t="n">
        <v>0</v>
      </c>
      <c r="G52" s="45" t="n">
        <v>0</v>
      </c>
      <c r="H52" s="45" t="n">
        <v>0</v>
      </c>
      <c r="I52" s="45" t="n">
        <v>0</v>
      </c>
      <c r="J52" s="46" t="n">
        <f aca="false">SUMPRODUCT(B52:I52,$B$11:$I$11)</f>
        <v>2</v>
      </c>
      <c r="K52" s="47"/>
      <c r="L52" s="50"/>
      <c r="M52" s="50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 customFormat="false" ht="14.25" hidden="false" customHeight="true" outlineLevel="0" collapsed="false">
      <c r="A53" s="44" t="s">
        <v>77</v>
      </c>
      <c r="B53" s="45" t="n">
        <v>0</v>
      </c>
      <c r="C53" s="45" t="n">
        <v>0</v>
      </c>
      <c r="D53" s="45" t="n">
        <v>2</v>
      </c>
      <c r="E53" s="45" t="n">
        <v>0</v>
      </c>
      <c r="F53" s="45" t="n">
        <v>0</v>
      </c>
      <c r="G53" s="45" t="n">
        <v>0</v>
      </c>
      <c r="H53" s="45" t="n">
        <v>0</v>
      </c>
      <c r="I53" s="45" t="n">
        <v>0</v>
      </c>
      <c r="J53" s="46" t="n">
        <f aca="false">SUMPRODUCT(B53:I53,$B$11:$I$11)</f>
        <v>2</v>
      </c>
      <c r="K53" s="52" t="n">
        <f aca="false">J53+J52</f>
        <v>4</v>
      </c>
      <c r="L53" s="50" t="n">
        <f aca="false">SUM(J50:J53)</f>
        <v>7.5</v>
      </c>
      <c r="M53" s="50" t="n">
        <f aca="false">SUM(C50:I53)</f>
        <v>7</v>
      </c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 customFormat="false" ht="14.25" hidden="false" customHeight="true" outlineLevel="0" collapsed="false">
      <c r="A54" s="44" t="s">
        <v>78</v>
      </c>
      <c r="B54" s="45" t="n">
        <v>0</v>
      </c>
      <c r="C54" s="45" t="n">
        <v>0</v>
      </c>
      <c r="D54" s="45" t="n">
        <v>1</v>
      </c>
      <c r="E54" s="45" t="n">
        <v>0</v>
      </c>
      <c r="F54" s="45" t="n">
        <v>0</v>
      </c>
      <c r="G54" s="45" t="n">
        <v>0</v>
      </c>
      <c r="H54" s="45" t="n">
        <v>0</v>
      </c>
      <c r="I54" s="45" t="n">
        <v>0</v>
      </c>
      <c r="J54" s="46" t="n">
        <f aca="false">SUMPRODUCT(B54:I54,$B$11:$I$11)</f>
        <v>1</v>
      </c>
      <c r="K54" s="47"/>
      <c r="L54" s="47"/>
      <c r="M54" s="47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 customFormat="false" ht="14.25" hidden="false" customHeight="true" outlineLevel="0" collapsed="false">
      <c r="A55" s="44" t="s">
        <v>79</v>
      </c>
      <c r="B55" s="45" t="n">
        <v>0</v>
      </c>
      <c r="C55" s="45" t="n">
        <v>0</v>
      </c>
      <c r="D55" s="45" t="n">
        <v>2</v>
      </c>
      <c r="E55" s="45" t="n">
        <v>0</v>
      </c>
      <c r="F55" s="45" t="n">
        <v>0</v>
      </c>
      <c r="G55" s="45" t="n">
        <v>0</v>
      </c>
      <c r="H55" s="45" t="n">
        <v>0</v>
      </c>
      <c r="I55" s="45" t="n">
        <v>0</v>
      </c>
      <c r="J55" s="46" t="n">
        <f aca="false">SUMPRODUCT(B55:I55,$B$11:$I$11)</f>
        <v>2</v>
      </c>
      <c r="K55" s="50" t="n">
        <f aca="false">J55+J54</f>
        <v>3</v>
      </c>
      <c r="L55" s="51"/>
      <c r="M55" s="51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 customFormat="false" ht="14.25" hidden="false" customHeight="true" outlineLevel="0" collapsed="false">
      <c r="A56" s="44" t="s">
        <v>80</v>
      </c>
      <c r="B56" s="45" t="n">
        <v>0</v>
      </c>
      <c r="C56" s="45" t="n">
        <v>0</v>
      </c>
      <c r="D56" s="45" t="n">
        <v>2</v>
      </c>
      <c r="E56" s="45" t="n">
        <v>0</v>
      </c>
      <c r="F56" s="45" t="n">
        <v>0</v>
      </c>
      <c r="G56" s="45" t="n">
        <v>0</v>
      </c>
      <c r="H56" s="45" t="n">
        <v>0</v>
      </c>
      <c r="I56" s="45" t="n">
        <v>0</v>
      </c>
      <c r="J56" s="46" t="n">
        <f aca="false">SUMPRODUCT(B56:I56,$B$11:$I$11)</f>
        <v>2</v>
      </c>
      <c r="K56" s="47"/>
      <c r="L56" s="50"/>
      <c r="M56" s="50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 customFormat="false" ht="14.25" hidden="false" customHeight="true" outlineLevel="0" collapsed="false">
      <c r="A57" s="44" t="s">
        <v>81</v>
      </c>
      <c r="B57" s="45" t="n">
        <v>0</v>
      </c>
      <c r="C57" s="45" t="n">
        <v>0</v>
      </c>
      <c r="D57" s="45" t="n">
        <v>0</v>
      </c>
      <c r="E57" s="45" t="n">
        <v>0</v>
      </c>
      <c r="F57" s="45" t="n">
        <v>0</v>
      </c>
      <c r="G57" s="45" t="n">
        <v>0</v>
      </c>
      <c r="H57" s="45" t="n">
        <v>0</v>
      </c>
      <c r="I57" s="45" t="n">
        <v>0</v>
      </c>
      <c r="J57" s="46" t="n">
        <f aca="false">SUMPRODUCT(B57:I57,$B$11:$I$11)</f>
        <v>0</v>
      </c>
      <c r="K57" s="50" t="n">
        <f aca="false">J57+J56</f>
        <v>2</v>
      </c>
      <c r="L57" s="50" t="n">
        <f aca="false">SUM(J54:J57)</f>
        <v>5</v>
      </c>
      <c r="M57" s="50" t="n">
        <f aca="false">SUM(C54:I57)</f>
        <v>5</v>
      </c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 customFormat="false" ht="14.25" hidden="false" customHeight="true" outlineLevel="0" collapsed="false">
      <c r="A58" s="44" t="s">
        <v>82</v>
      </c>
      <c r="B58" s="45" t="n">
        <v>0</v>
      </c>
      <c r="C58" s="45" t="n">
        <v>1</v>
      </c>
      <c r="D58" s="45" t="n">
        <v>3</v>
      </c>
      <c r="E58" s="45" t="n">
        <v>0</v>
      </c>
      <c r="F58" s="45" t="n">
        <v>0</v>
      </c>
      <c r="G58" s="45" t="n">
        <v>0</v>
      </c>
      <c r="H58" s="45" t="n">
        <v>0</v>
      </c>
      <c r="I58" s="45" t="n">
        <v>0</v>
      </c>
      <c r="J58" s="46" t="n">
        <f aca="false">SUMPRODUCT(B58:I58,$B$11:$I$11)</f>
        <v>4</v>
      </c>
      <c r="K58" s="47"/>
      <c r="L58" s="47"/>
      <c r="M58" s="47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 customFormat="false" ht="14.25" hidden="false" customHeight="true" outlineLevel="0" collapsed="false">
      <c r="A59" s="44" t="s">
        <v>83</v>
      </c>
      <c r="B59" s="45" t="n">
        <v>0</v>
      </c>
      <c r="C59" s="45" t="n">
        <v>0</v>
      </c>
      <c r="D59" s="45" t="n">
        <v>3</v>
      </c>
      <c r="E59" s="45" t="n">
        <v>0</v>
      </c>
      <c r="F59" s="45" t="n">
        <v>0</v>
      </c>
      <c r="G59" s="45" t="n">
        <v>0</v>
      </c>
      <c r="H59" s="45" t="n">
        <v>0</v>
      </c>
      <c r="I59" s="45" t="n">
        <v>0</v>
      </c>
      <c r="J59" s="46" t="n">
        <f aca="false">SUMPRODUCT(B59:I59,$B$11:$I$11)</f>
        <v>3</v>
      </c>
      <c r="K59" s="50" t="n">
        <f aca="false">J59+J58</f>
        <v>7</v>
      </c>
      <c r="L59" s="51"/>
      <c r="M59" s="51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 customFormat="false" ht="14.25" hidden="false" customHeight="true" outlineLevel="0" collapsed="false">
      <c r="A60" s="44" t="s">
        <v>84</v>
      </c>
      <c r="B60" s="45" t="n">
        <v>0</v>
      </c>
      <c r="C60" s="45" t="n">
        <v>0</v>
      </c>
      <c r="D60" s="45" t="n">
        <v>0</v>
      </c>
      <c r="E60" s="45" t="n">
        <v>0</v>
      </c>
      <c r="F60" s="45" t="n">
        <v>0</v>
      </c>
      <c r="G60" s="45" t="n">
        <v>0</v>
      </c>
      <c r="H60" s="45" t="n">
        <v>0</v>
      </c>
      <c r="I60" s="45" t="n">
        <v>0</v>
      </c>
      <c r="J60" s="46" t="n">
        <f aca="false">SUMPRODUCT(B60:I60,$B$11:$I$11)</f>
        <v>0</v>
      </c>
      <c r="K60" s="47"/>
      <c r="L60" s="50"/>
      <c r="M60" s="50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 customFormat="false" ht="14.25" hidden="false" customHeight="true" outlineLevel="0" collapsed="false">
      <c r="A61" s="44" t="s">
        <v>85</v>
      </c>
      <c r="B61" s="45" t="n">
        <v>0</v>
      </c>
      <c r="C61" s="45" t="n">
        <v>1</v>
      </c>
      <c r="D61" s="45" t="n">
        <v>2</v>
      </c>
      <c r="E61" s="45" t="n">
        <v>0</v>
      </c>
      <c r="F61" s="45" t="n">
        <v>0</v>
      </c>
      <c r="G61" s="45" t="n">
        <v>0</v>
      </c>
      <c r="H61" s="45" t="n">
        <v>0</v>
      </c>
      <c r="I61" s="45" t="n">
        <v>0</v>
      </c>
      <c r="J61" s="46" t="n">
        <f aca="false">SUMPRODUCT(B61:I61,$B$11:$I$11)</f>
        <v>3</v>
      </c>
      <c r="K61" s="50" t="n">
        <f aca="false">J61+J60</f>
        <v>3</v>
      </c>
      <c r="L61" s="50" t="n">
        <f aca="false">SUM(J58:J61)</f>
        <v>10</v>
      </c>
      <c r="M61" s="50" t="n">
        <f aca="false">SUM(C58:I61)</f>
        <v>10</v>
      </c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 customFormat="false" ht="14.25" hidden="false" customHeight="true" outlineLevel="0" collapsed="false">
      <c r="A62" s="44" t="s">
        <v>86</v>
      </c>
      <c r="B62" s="45" t="n">
        <v>0</v>
      </c>
      <c r="C62" s="45" t="n">
        <v>0</v>
      </c>
      <c r="D62" s="45" t="n">
        <v>6</v>
      </c>
      <c r="E62" s="45" t="n">
        <v>0</v>
      </c>
      <c r="F62" s="45" t="n">
        <v>0</v>
      </c>
      <c r="G62" s="45" t="n">
        <v>0</v>
      </c>
      <c r="H62" s="45" t="n">
        <v>0</v>
      </c>
      <c r="I62" s="45" t="n">
        <v>0</v>
      </c>
      <c r="J62" s="46" t="n">
        <f aca="false">SUMPRODUCT(B62:I62,$B$11:$I$11)</f>
        <v>6</v>
      </c>
      <c r="K62" s="47"/>
      <c r="L62" s="47"/>
      <c r="M62" s="47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 customFormat="false" ht="14.25" hidden="false" customHeight="true" outlineLevel="0" collapsed="false">
      <c r="A63" s="44" t="s">
        <v>87</v>
      </c>
      <c r="B63" s="45" t="n">
        <v>0</v>
      </c>
      <c r="C63" s="45" t="n">
        <v>0</v>
      </c>
      <c r="D63" s="45" t="n">
        <v>3</v>
      </c>
      <c r="E63" s="45" t="n">
        <v>0</v>
      </c>
      <c r="F63" s="45" t="n">
        <v>0</v>
      </c>
      <c r="G63" s="45" t="n">
        <v>0</v>
      </c>
      <c r="H63" s="45" t="n">
        <v>0</v>
      </c>
      <c r="I63" s="45" t="n">
        <v>0</v>
      </c>
      <c r="J63" s="46" t="n">
        <f aca="false">SUMPRODUCT(B63:I63,$B$11:$I$11)</f>
        <v>3</v>
      </c>
      <c r="K63" s="50" t="n">
        <f aca="false">J63+J62</f>
        <v>9</v>
      </c>
      <c r="L63" s="51"/>
      <c r="M63" s="51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 customFormat="false" ht="14.25" hidden="false" customHeight="true" outlineLevel="0" collapsed="false">
      <c r="A64" s="44" t="s">
        <v>88</v>
      </c>
      <c r="B64" s="45" t="n">
        <v>0</v>
      </c>
      <c r="C64" s="45" t="n">
        <v>0</v>
      </c>
      <c r="D64" s="45" t="n">
        <v>0</v>
      </c>
      <c r="E64" s="45" t="n">
        <v>0</v>
      </c>
      <c r="F64" s="45" t="n">
        <v>0</v>
      </c>
      <c r="G64" s="45" t="n">
        <v>0</v>
      </c>
      <c r="H64" s="45" t="n">
        <v>0</v>
      </c>
      <c r="I64" s="45" t="n">
        <v>0</v>
      </c>
      <c r="J64" s="46" t="n">
        <f aca="false">SUMPRODUCT(B64:I64,$B$11:$I$11)</f>
        <v>0</v>
      </c>
      <c r="K64" s="47"/>
      <c r="L64" s="50"/>
      <c r="M64" s="50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 customFormat="false" ht="14.25" hidden="false" customHeight="true" outlineLevel="0" collapsed="false">
      <c r="A65" s="44" t="s">
        <v>89</v>
      </c>
      <c r="B65" s="45" t="n">
        <v>1</v>
      </c>
      <c r="C65" s="45" t="n">
        <v>0</v>
      </c>
      <c r="D65" s="45" t="n">
        <v>0</v>
      </c>
      <c r="E65" s="45" t="n">
        <v>0</v>
      </c>
      <c r="F65" s="45" t="n">
        <v>0</v>
      </c>
      <c r="G65" s="45" t="n">
        <v>0</v>
      </c>
      <c r="H65" s="45" t="n">
        <v>0</v>
      </c>
      <c r="I65" s="45" t="n">
        <v>0</v>
      </c>
      <c r="J65" s="46" t="n">
        <f aca="false">SUMPRODUCT(B65:I65,$B$11:$I$11)</f>
        <v>0.5</v>
      </c>
      <c r="K65" s="50" t="n">
        <f aca="false">J65+J64</f>
        <v>0.5</v>
      </c>
      <c r="L65" s="50" t="n">
        <f aca="false">SUM(J62:J65)</f>
        <v>9.5</v>
      </c>
      <c r="M65" s="50" t="n">
        <f aca="false">SUM(C62:I65)</f>
        <v>9</v>
      </c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 customFormat="false" ht="14.25" hidden="false" customHeight="true" outlineLevel="0" collapsed="false">
      <c r="A66" s="44" t="s">
        <v>90</v>
      </c>
      <c r="B66" s="45" t="n">
        <v>0</v>
      </c>
      <c r="C66" s="45" t="n">
        <v>0</v>
      </c>
      <c r="D66" s="45" t="n">
        <v>2</v>
      </c>
      <c r="E66" s="45" t="n">
        <v>0</v>
      </c>
      <c r="F66" s="45" t="n">
        <v>0</v>
      </c>
      <c r="G66" s="45" t="n">
        <v>0</v>
      </c>
      <c r="H66" s="45" t="n">
        <v>0</v>
      </c>
      <c r="I66" s="45" t="n">
        <v>0</v>
      </c>
      <c r="J66" s="46" t="n">
        <f aca="false">SUMPRODUCT(B66:I66,$B$11:$I$11)</f>
        <v>2</v>
      </c>
      <c r="K66" s="47"/>
      <c r="L66" s="47"/>
      <c r="M66" s="47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 customFormat="false" ht="14.25" hidden="false" customHeight="true" outlineLevel="0" collapsed="false">
      <c r="A67" s="44" t="s">
        <v>91</v>
      </c>
      <c r="B67" s="45" t="n">
        <v>0</v>
      </c>
      <c r="C67" s="45" t="n">
        <v>0</v>
      </c>
      <c r="D67" s="45" t="n">
        <v>0</v>
      </c>
      <c r="E67" s="45" t="n">
        <v>0</v>
      </c>
      <c r="F67" s="45" t="n">
        <v>0</v>
      </c>
      <c r="G67" s="45" t="n">
        <v>0</v>
      </c>
      <c r="H67" s="45" t="n">
        <v>0</v>
      </c>
      <c r="I67" s="45" t="n">
        <v>0</v>
      </c>
      <c r="J67" s="46" t="n">
        <f aca="false">SUMPRODUCT(B67:I67,$B$11:$I$11)</f>
        <v>0</v>
      </c>
      <c r="K67" s="50" t="n">
        <f aca="false">J67+J66</f>
        <v>2</v>
      </c>
      <c r="L67" s="51"/>
      <c r="M67" s="53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 customFormat="false" ht="14.25" hidden="false" customHeight="true" outlineLevel="0" collapsed="false">
      <c r="A68" s="44" t="s">
        <v>92</v>
      </c>
      <c r="B68" s="45" t="n">
        <v>1</v>
      </c>
      <c r="C68" s="45" t="n">
        <v>0</v>
      </c>
      <c r="D68" s="45" t="n">
        <v>2</v>
      </c>
      <c r="E68" s="45" t="n">
        <v>0</v>
      </c>
      <c r="F68" s="45" t="n">
        <v>0</v>
      </c>
      <c r="G68" s="45" t="n">
        <v>0</v>
      </c>
      <c r="H68" s="45" t="n">
        <v>0</v>
      </c>
      <c r="I68" s="45" t="n">
        <v>0</v>
      </c>
      <c r="J68" s="46" t="n">
        <f aca="false">SUMPRODUCT(B68:I68,$B$11:$I$11)</f>
        <v>2.5</v>
      </c>
      <c r="K68" s="47"/>
      <c r="L68" s="50"/>
      <c r="M68" s="50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 customFormat="false" ht="14.25" hidden="false" customHeight="true" outlineLevel="0" collapsed="false">
      <c r="A69" s="44" t="s">
        <v>93</v>
      </c>
      <c r="B69" s="45" t="n">
        <v>0</v>
      </c>
      <c r="C69" s="45" t="n">
        <v>0</v>
      </c>
      <c r="D69" s="45" t="n">
        <v>1</v>
      </c>
      <c r="E69" s="45" t="n">
        <v>0</v>
      </c>
      <c r="F69" s="45" t="n">
        <v>0</v>
      </c>
      <c r="G69" s="45" t="n">
        <v>0</v>
      </c>
      <c r="H69" s="45" t="n">
        <v>0</v>
      </c>
      <c r="I69" s="45" t="n">
        <v>0</v>
      </c>
      <c r="J69" s="46" t="n">
        <f aca="false">SUMPRODUCT(B69:I69,$B$11:$I$11)</f>
        <v>1</v>
      </c>
      <c r="K69" s="52" t="n">
        <f aca="false">J69+J68</f>
        <v>3.5</v>
      </c>
      <c r="L69" s="52" t="n">
        <f aca="false">SUM(J66:J69)</f>
        <v>5.5</v>
      </c>
      <c r="M69" s="52" t="n">
        <f aca="false">SUM(C66:I69)</f>
        <v>5</v>
      </c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 customFormat="false" ht="14.25" hidden="false" customHeight="true" outlineLevel="0" collapsed="false">
      <c r="A70" s="54" t="s">
        <v>94</v>
      </c>
      <c r="B70" s="3" t="n">
        <f aca="false">SUM(B14:B69)</f>
        <v>6</v>
      </c>
      <c r="C70" s="3" t="n">
        <f aca="false">SUM(C14:C69)</f>
        <v>2</v>
      </c>
      <c r="D70" s="3" t="n">
        <f aca="false">SUM(D14:D69)</f>
        <v>84</v>
      </c>
      <c r="E70" s="3" t="n">
        <f aca="false">SUM(E14:E69)</f>
        <v>0</v>
      </c>
      <c r="F70" s="3" t="n">
        <f aca="false">SUM(F14:F69)</f>
        <v>0</v>
      </c>
      <c r="G70" s="3" t="n">
        <f aca="false">SUM(G14:G69)</f>
        <v>6</v>
      </c>
      <c r="H70" s="3" t="n">
        <f aca="false">SUM(H14:H69)</f>
        <v>2</v>
      </c>
      <c r="I70" s="3" t="n">
        <f aca="false">SUM(I14:I69)</f>
        <v>2</v>
      </c>
      <c r="J70" s="3" t="n">
        <f aca="false">SUM(J14:J69)</f>
        <v>105</v>
      </c>
      <c r="K70" s="3"/>
      <c r="L70" s="3"/>
      <c r="M70" s="3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3">
    <mergeCell ref="A3:M3"/>
    <mergeCell ref="A4:M4"/>
    <mergeCell ref="K6:M6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4.65" zeroHeight="false" outlineLevelRow="0" outlineLevelCol="0"/>
  <cols>
    <col collapsed="false" customWidth="true" hidden="false" outlineLevel="0" max="9" min="2" style="1" width="7.36"/>
    <col collapsed="false" customWidth="true" hidden="false" outlineLevel="0" max="12" min="10" style="1" width="7.83"/>
  </cols>
  <sheetData>
    <row r="1" customFormat="false" ht="14.65" hidden="false" customHeight="false" outlineLevel="0" collapsed="false">
      <c r="A1" s="56"/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</row>
    <row r="2" customFormat="false" ht="14.65" hidden="false" customHeight="false" outlineLevel="0" collapsed="false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</row>
    <row r="3" customFormat="false" ht="19.35" hidden="false" customHeight="false" outlineLevel="0" collapsed="false">
      <c r="A3" s="57" t="s">
        <v>0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</row>
    <row r="4" customFormat="false" ht="17" hidden="false" customHeight="false" outlineLevel="0" collapsed="false">
      <c r="A4" s="58" t="s">
        <v>100</v>
      </c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</row>
    <row r="5" customFormat="false" ht="14.65" hidden="false" customHeight="false" outlineLevel="0" collapsed="false">
      <c r="A5" s="59" t="s">
        <v>6</v>
      </c>
      <c r="B5" s="60" t="n">
        <f aca="false">'Deckbl.'!I11</f>
        <v>45036</v>
      </c>
      <c r="C5" s="60"/>
      <c r="D5" s="60"/>
      <c r="E5" s="60"/>
      <c r="F5" s="60"/>
      <c r="G5" s="60"/>
      <c r="H5" s="61"/>
      <c r="I5" s="61"/>
      <c r="J5" s="62" t="s">
        <v>3</v>
      </c>
      <c r="K5" s="63" t="n">
        <f aca="false">'Deckbl.'!C10</f>
        <v>0</v>
      </c>
      <c r="L5" s="64"/>
    </row>
    <row r="6" customFormat="false" ht="21" hidden="false" customHeight="true" outlineLevel="0" collapsed="false">
      <c r="A6" s="65"/>
      <c r="B6" s="66"/>
      <c r="C6" s="66"/>
      <c r="D6" s="66"/>
      <c r="E6" s="66"/>
      <c r="F6" s="66"/>
      <c r="G6" s="66"/>
      <c r="H6" s="67"/>
      <c r="I6" s="56"/>
      <c r="J6" s="68" t="s">
        <v>9</v>
      </c>
      <c r="K6" s="69" t="str">
        <f aca="false">'Deckbl.'!I12</f>
        <v>morgens leichter Regen, dann Sonne, 5-17°</v>
      </c>
      <c r="L6" s="69"/>
    </row>
    <row r="7" customFormat="false" ht="19.35" hidden="false" customHeight="false" outlineLevel="0" collapsed="false">
      <c r="A7" s="70"/>
      <c r="B7" s="68" t="s">
        <v>13</v>
      </c>
      <c r="C7" s="71"/>
      <c r="D7" s="71" t="str">
        <f aca="false">'Deckbl.'!C8</f>
        <v>Sandleiten / Schulstraße / Parkstraße (Pregarten)</v>
      </c>
      <c r="E7" s="68"/>
      <c r="F7" s="68"/>
      <c r="G7" s="68"/>
      <c r="H7" s="72"/>
      <c r="I7" s="68"/>
      <c r="J7" s="71"/>
      <c r="K7" s="66"/>
      <c r="L7" s="73"/>
    </row>
    <row r="8" customFormat="false" ht="14.65" hidden="false" customHeight="false" outlineLevel="0" collapsed="false">
      <c r="A8" s="70"/>
      <c r="B8" s="68" t="s">
        <v>14</v>
      </c>
      <c r="C8" s="68"/>
      <c r="D8" s="68"/>
      <c r="E8" s="68"/>
      <c r="F8" s="68"/>
      <c r="G8" s="68"/>
      <c r="H8" s="67"/>
      <c r="I8" s="68" t="s">
        <v>7</v>
      </c>
      <c r="J8" s="74" t="s">
        <v>8</v>
      </c>
      <c r="K8" s="75"/>
      <c r="L8" s="73"/>
    </row>
    <row r="9" customFormat="false" ht="14.65" hidden="false" customHeight="false" outlineLevel="0" collapsed="false">
      <c r="A9" s="70"/>
      <c r="B9" s="68" t="s">
        <v>15</v>
      </c>
      <c r="C9" s="68"/>
      <c r="D9" s="68"/>
      <c r="E9" s="68"/>
      <c r="F9" s="68"/>
      <c r="G9" s="68"/>
      <c r="H9" s="76"/>
      <c r="I9" s="68" t="s">
        <v>17</v>
      </c>
      <c r="J9" s="74" t="str">
        <f aca="false">'Deckbl.'!C11</f>
        <v>6-20</v>
      </c>
      <c r="K9" s="66"/>
      <c r="L9" s="73"/>
    </row>
    <row r="10" customFormat="false" ht="14.65" hidden="false" customHeight="false" outlineLevel="0" collapsed="false">
      <c r="A10" s="77"/>
      <c r="B10" s="78" t="s">
        <v>18</v>
      </c>
      <c r="C10" s="79"/>
      <c r="D10" s="79"/>
      <c r="E10" s="79"/>
      <c r="F10" s="79"/>
      <c r="G10" s="79"/>
      <c r="H10" s="79"/>
      <c r="I10" s="79"/>
      <c r="J10" s="80"/>
      <c r="K10" s="81"/>
      <c r="L10" s="82"/>
    </row>
    <row r="11" customFormat="false" ht="12.8" hidden="false" customHeight="false" outlineLevel="0" collapsed="false">
      <c r="A11" s="83"/>
      <c r="B11" s="59" t="s">
        <v>101</v>
      </c>
      <c r="C11" s="59" t="s">
        <v>102</v>
      </c>
      <c r="D11" s="59" t="s">
        <v>103</v>
      </c>
      <c r="E11" s="59" t="s">
        <v>104</v>
      </c>
      <c r="F11" s="59"/>
      <c r="G11" s="59"/>
      <c r="H11" s="59"/>
      <c r="I11" s="59"/>
      <c r="J11" s="84" t="s">
        <v>105</v>
      </c>
      <c r="K11" s="84" t="s">
        <v>105</v>
      </c>
      <c r="L11" s="84" t="s">
        <v>105</v>
      </c>
    </row>
    <row r="12" customFormat="false" ht="12.8" hidden="false" customHeight="false" outlineLevel="0" collapsed="false">
      <c r="A12" s="85" t="s">
        <v>29</v>
      </c>
      <c r="B12" s="86" t="s">
        <v>106</v>
      </c>
      <c r="C12" s="86" t="s">
        <v>106</v>
      </c>
      <c r="D12" s="86" t="s">
        <v>106</v>
      </c>
      <c r="E12" s="86" t="s">
        <v>106</v>
      </c>
      <c r="F12" s="86"/>
      <c r="G12" s="86"/>
      <c r="H12" s="86"/>
      <c r="I12" s="86"/>
      <c r="J12" s="84" t="s">
        <v>35</v>
      </c>
      <c r="K12" s="84" t="s">
        <v>36</v>
      </c>
      <c r="L12" s="84" t="s">
        <v>37</v>
      </c>
    </row>
    <row r="13" customFormat="false" ht="12.8" hidden="false" customHeight="false" outlineLevel="0" collapsed="false">
      <c r="A13" s="44" t="s">
        <v>38</v>
      </c>
      <c r="B13" s="45" t="n">
        <v>0</v>
      </c>
      <c r="C13" s="45" t="n">
        <v>0</v>
      </c>
      <c r="D13" s="45" t="n">
        <v>0</v>
      </c>
      <c r="E13" s="45" t="n">
        <v>0</v>
      </c>
      <c r="F13" s="87"/>
      <c r="G13" s="87"/>
      <c r="H13" s="87"/>
      <c r="I13" s="87"/>
      <c r="J13" s="88" t="n">
        <f aca="false">SUM(B13:I13)</f>
        <v>0</v>
      </c>
      <c r="K13" s="89"/>
      <c r="L13" s="89"/>
    </row>
    <row r="14" customFormat="false" ht="12.8" hidden="false" customHeight="false" outlineLevel="0" collapsed="false">
      <c r="A14" s="44" t="s">
        <v>39</v>
      </c>
      <c r="B14" s="45" t="n">
        <v>1</v>
      </c>
      <c r="C14" s="45" t="n">
        <v>3</v>
      </c>
      <c r="D14" s="45" t="n">
        <v>0</v>
      </c>
      <c r="E14" s="45" t="n">
        <v>0</v>
      </c>
      <c r="F14" s="87"/>
      <c r="G14" s="87"/>
      <c r="H14" s="87"/>
      <c r="I14" s="87"/>
      <c r="J14" s="90" t="n">
        <f aca="false">SUM(B14:I14)</f>
        <v>4</v>
      </c>
      <c r="K14" s="91" t="n">
        <f aca="false">J14+J13</f>
        <v>4</v>
      </c>
      <c r="L14" s="92"/>
    </row>
    <row r="15" customFormat="false" ht="12.8" hidden="false" customHeight="false" outlineLevel="0" collapsed="false">
      <c r="A15" s="44" t="s">
        <v>40</v>
      </c>
      <c r="B15" s="45" t="n">
        <v>0</v>
      </c>
      <c r="C15" s="45" t="n">
        <v>0</v>
      </c>
      <c r="D15" s="45" t="n">
        <v>0</v>
      </c>
      <c r="E15" s="45" t="n">
        <v>0</v>
      </c>
      <c r="F15" s="87"/>
      <c r="G15" s="87"/>
      <c r="H15" s="87"/>
      <c r="I15" s="87"/>
      <c r="J15" s="90" t="n">
        <f aca="false">SUM(B15:I15)</f>
        <v>0</v>
      </c>
      <c r="K15" s="89"/>
      <c r="L15" s="91"/>
    </row>
    <row r="16" customFormat="false" ht="12.8" hidden="false" customHeight="false" outlineLevel="0" collapsed="false">
      <c r="A16" s="44" t="s">
        <v>41</v>
      </c>
      <c r="B16" s="45" t="n">
        <v>1</v>
      </c>
      <c r="C16" s="45" t="n">
        <v>1</v>
      </c>
      <c r="D16" s="45" t="n">
        <v>0</v>
      </c>
      <c r="E16" s="45" t="n">
        <v>1</v>
      </c>
      <c r="F16" s="87"/>
      <c r="G16" s="87"/>
      <c r="H16" s="87"/>
      <c r="I16" s="87"/>
      <c r="J16" s="90" t="n">
        <f aca="false">SUM(B16:I16)</f>
        <v>3</v>
      </c>
      <c r="K16" s="91" t="n">
        <f aca="false">J16+J15</f>
        <v>3</v>
      </c>
      <c r="L16" s="91" t="n">
        <f aca="false">SUM(J13:J16)</f>
        <v>7</v>
      </c>
    </row>
    <row r="17" customFormat="false" ht="12.8" hidden="false" customHeight="false" outlineLevel="0" collapsed="false">
      <c r="A17" s="44" t="s">
        <v>42</v>
      </c>
      <c r="B17" s="45" t="n">
        <v>0</v>
      </c>
      <c r="C17" s="45" t="n">
        <v>0</v>
      </c>
      <c r="D17" s="45" t="n">
        <v>0</v>
      </c>
      <c r="E17" s="45" t="n">
        <v>3</v>
      </c>
      <c r="F17" s="87"/>
      <c r="G17" s="87"/>
      <c r="H17" s="87"/>
      <c r="I17" s="87"/>
      <c r="J17" s="90" t="n">
        <f aca="false">SUM(B17:I17)</f>
        <v>3</v>
      </c>
      <c r="K17" s="89"/>
      <c r="L17" s="89"/>
    </row>
    <row r="18" customFormat="false" ht="12.8" hidden="false" customHeight="false" outlineLevel="0" collapsed="false">
      <c r="A18" s="44" t="s">
        <v>43</v>
      </c>
      <c r="B18" s="45" t="n">
        <v>0</v>
      </c>
      <c r="C18" s="45" t="n">
        <v>2</v>
      </c>
      <c r="D18" s="45" t="n">
        <v>0</v>
      </c>
      <c r="E18" s="45" t="n">
        <v>11</v>
      </c>
      <c r="F18" s="87"/>
      <c r="G18" s="87"/>
      <c r="H18" s="87"/>
      <c r="I18" s="87"/>
      <c r="J18" s="90" t="n">
        <f aca="false">SUM(B18:I18)</f>
        <v>13</v>
      </c>
      <c r="K18" s="91" t="n">
        <f aca="false">J18+J17</f>
        <v>16</v>
      </c>
      <c r="L18" s="92"/>
    </row>
    <row r="19" customFormat="false" ht="12.8" hidden="false" customHeight="false" outlineLevel="0" collapsed="false">
      <c r="A19" s="44" t="s">
        <v>44</v>
      </c>
      <c r="B19" s="45" t="n">
        <v>0</v>
      </c>
      <c r="C19" s="45" t="n">
        <v>6</v>
      </c>
      <c r="D19" s="45" t="n">
        <v>0</v>
      </c>
      <c r="E19" s="45" t="n">
        <v>27</v>
      </c>
      <c r="F19" s="87"/>
      <c r="G19" s="87"/>
      <c r="H19" s="87"/>
      <c r="I19" s="87"/>
      <c r="J19" s="90" t="n">
        <f aca="false">SUM(B19:I19)</f>
        <v>33</v>
      </c>
      <c r="K19" s="89"/>
      <c r="L19" s="91"/>
    </row>
    <row r="20" customFormat="false" ht="12.8" hidden="false" customHeight="false" outlineLevel="0" collapsed="false">
      <c r="A20" s="44" t="s">
        <v>45</v>
      </c>
      <c r="B20" s="45" t="n">
        <v>7</v>
      </c>
      <c r="C20" s="45" t="n">
        <v>0</v>
      </c>
      <c r="D20" s="45" t="n">
        <v>0</v>
      </c>
      <c r="E20" s="45" t="n">
        <v>14</v>
      </c>
      <c r="F20" s="87"/>
      <c r="G20" s="87"/>
      <c r="H20" s="87"/>
      <c r="I20" s="87"/>
      <c r="J20" s="90" t="n">
        <f aca="false">SUM(B20:I20)</f>
        <v>21</v>
      </c>
      <c r="K20" s="91" t="n">
        <f aca="false">J20+J19</f>
        <v>54</v>
      </c>
      <c r="L20" s="91" t="n">
        <f aca="false">SUM(J17:J20)</f>
        <v>70</v>
      </c>
    </row>
    <row r="21" customFormat="false" ht="12.8" hidden="false" customHeight="false" outlineLevel="0" collapsed="false">
      <c r="A21" s="44" t="s">
        <v>46</v>
      </c>
      <c r="B21" s="45" t="n">
        <v>0</v>
      </c>
      <c r="C21" s="45" t="n">
        <v>0</v>
      </c>
      <c r="D21" s="45" t="n">
        <v>0</v>
      </c>
      <c r="E21" s="45" t="n">
        <v>0</v>
      </c>
      <c r="F21" s="87"/>
      <c r="G21" s="87"/>
      <c r="H21" s="87"/>
      <c r="I21" s="87"/>
      <c r="J21" s="90" t="n">
        <f aca="false">SUM(B21:I21)</f>
        <v>0</v>
      </c>
      <c r="K21" s="89"/>
      <c r="L21" s="89"/>
    </row>
    <row r="22" customFormat="false" ht="12.8" hidden="false" customHeight="false" outlineLevel="0" collapsed="false">
      <c r="A22" s="44" t="s">
        <v>47</v>
      </c>
      <c r="B22" s="45" t="n">
        <v>0</v>
      </c>
      <c r="C22" s="45" t="n">
        <v>1</v>
      </c>
      <c r="D22" s="45" t="n">
        <v>0</v>
      </c>
      <c r="E22" s="45" t="n">
        <v>1</v>
      </c>
      <c r="F22" s="87"/>
      <c r="G22" s="87"/>
      <c r="H22" s="87"/>
      <c r="I22" s="87"/>
      <c r="J22" s="90" t="n">
        <f aca="false">SUM(B22:I22)</f>
        <v>2</v>
      </c>
      <c r="K22" s="91" t="n">
        <f aca="false">J22+J21</f>
        <v>2</v>
      </c>
      <c r="L22" s="92"/>
    </row>
    <row r="23" customFormat="false" ht="12.8" hidden="false" customHeight="false" outlineLevel="0" collapsed="false">
      <c r="A23" s="44" t="s">
        <v>48</v>
      </c>
      <c r="B23" s="45" t="n">
        <v>0</v>
      </c>
      <c r="C23" s="45" t="n">
        <v>0</v>
      </c>
      <c r="D23" s="45" t="n">
        <v>0</v>
      </c>
      <c r="E23" s="45" t="n">
        <v>1</v>
      </c>
      <c r="F23" s="87"/>
      <c r="G23" s="87"/>
      <c r="H23" s="87"/>
      <c r="I23" s="87"/>
      <c r="J23" s="90" t="n">
        <f aca="false">SUM(B23:I23)</f>
        <v>1</v>
      </c>
      <c r="K23" s="89"/>
      <c r="L23" s="91"/>
    </row>
    <row r="24" customFormat="false" ht="12.8" hidden="false" customHeight="false" outlineLevel="0" collapsed="false">
      <c r="A24" s="44" t="s">
        <v>49</v>
      </c>
      <c r="B24" s="45" t="n">
        <v>0</v>
      </c>
      <c r="C24" s="45" t="n">
        <v>0</v>
      </c>
      <c r="D24" s="45" t="n">
        <v>0</v>
      </c>
      <c r="E24" s="45" t="n">
        <v>0</v>
      </c>
      <c r="F24" s="87"/>
      <c r="G24" s="87"/>
      <c r="H24" s="87"/>
      <c r="I24" s="87"/>
      <c r="J24" s="90" t="n">
        <f aca="false">SUM(B24:I24)</f>
        <v>0</v>
      </c>
      <c r="K24" s="91" t="n">
        <f aca="false">J24+J23</f>
        <v>1</v>
      </c>
      <c r="L24" s="91" t="n">
        <f aca="false">SUM(J21:J24)</f>
        <v>3</v>
      </c>
    </row>
    <row r="25" customFormat="false" ht="12.8" hidden="false" customHeight="false" outlineLevel="0" collapsed="false">
      <c r="A25" s="44" t="s">
        <v>50</v>
      </c>
      <c r="B25" s="45" t="n">
        <v>0</v>
      </c>
      <c r="C25" s="45" t="n">
        <v>0</v>
      </c>
      <c r="D25" s="45" t="n">
        <v>0</v>
      </c>
      <c r="E25" s="45" t="n">
        <v>0</v>
      </c>
      <c r="F25" s="87"/>
      <c r="G25" s="87"/>
      <c r="H25" s="87"/>
      <c r="I25" s="87"/>
      <c r="J25" s="90" t="n">
        <f aca="false">SUM(B25:I25)</f>
        <v>0</v>
      </c>
      <c r="K25" s="89"/>
      <c r="L25" s="89"/>
    </row>
    <row r="26" customFormat="false" ht="12.8" hidden="false" customHeight="false" outlineLevel="0" collapsed="false">
      <c r="A26" s="44" t="s">
        <v>51</v>
      </c>
      <c r="B26" s="45" t="n">
        <v>1</v>
      </c>
      <c r="C26" s="45" t="n">
        <v>1</v>
      </c>
      <c r="D26" s="45" t="n">
        <v>0</v>
      </c>
      <c r="E26" s="45" t="n">
        <v>0</v>
      </c>
      <c r="F26" s="87"/>
      <c r="G26" s="87"/>
      <c r="H26" s="87"/>
      <c r="I26" s="87"/>
      <c r="J26" s="90" t="n">
        <f aca="false">SUM(B26:I26)</f>
        <v>2</v>
      </c>
      <c r="K26" s="91" t="n">
        <f aca="false">J26+J25</f>
        <v>2</v>
      </c>
      <c r="L26" s="92"/>
    </row>
    <row r="27" customFormat="false" ht="12.8" hidden="false" customHeight="false" outlineLevel="0" collapsed="false">
      <c r="A27" s="44" t="s">
        <v>52</v>
      </c>
      <c r="B27" s="45" t="n">
        <v>0</v>
      </c>
      <c r="C27" s="45" t="n">
        <v>2</v>
      </c>
      <c r="D27" s="45" t="n">
        <v>0</v>
      </c>
      <c r="E27" s="45" t="n">
        <v>0</v>
      </c>
      <c r="F27" s="87"/>
      <c r="G27" s="87"/>
      <c r="H27" s="87"/>
      <c r="I27" s="87"/>
      <c r="J27" s="90" t="n">
        <f aca="false">SUM(B27:I27)</f>
        <v>2</v>
      </c>
      <c r="K27" s="89"/>
      <c r="L27" s="91"/>
    </row>
    <row r="28" customFormat="false" ht="12.8" hidden="false" customHeight="false" outlineLevel="0" collapsed="false">
      <c r="A28" s="44" t="s">
        <v>53</v>
      </c>
      <c r="B28" s="45" t="n">
        <v>0</v>
      </c>
      <c r="C28" s="45" t="n">
        <v>3</v>
      </c>
      <c r="D28" s="45" t="n">
        <v>0</v>
      </c>
      <c r="E28" s="45" t="n">
        <v>0</v>
      </c>
      <c r="F28" s="87"/>
      <c r="G28" s="87"/>
      <c r="H28" s="87"/>
      <c r="I28" s="87"/>
      <c r="J28" s="90" t="n">
        <f aca="false">SUM(B28:I28)</f>
        <v>3</v>
      </c>
      <c r="K28" s="91" t="n">
        <f aca="false">J28+J27</f>
        <v>5</v>
      </c>
      <c r="L28" s="91" t="n">
        <f aca="false">SUM(J25:J28)</f>
        <v>7</v>
      </c>
    </row>
    <row r="29" customFormat="false" ht="12.8" hidden="false" customHeight="false" outlineLevel="0" collapsed="false">
      <c r="A29" s="44" t="s">
        <v>54</v>
      </c>
      <c r="B29" s="45" t="n">
        <v>0</v>
      </c>
      <c r="C29" s="45" t="n">
        <v>2</v>
      </c>
      <c r="D29" s="45" t="n">
        <v>0</v>
      </c>
      <c r="E29" s="45" t="n">
        <v>0</v>
      </c>
      <c r="F29" s="87"/>
      <c r="G29" s="87"/>
      <c r="H29" s="87"/>
      <c r="I29" s="87"/>
      <c r="J29" s="90" t="n">
        <f aca="false">SUM(B29:I29)</f>
        <v>2</v>
      </c>
      <c r="K29" s="89"/>
      <c r="L29" s="89"/>
    </row>
    <row r="30" customFormat="false" ht="12.8" hidden="false" customHeight="false" outlineLevel="0" collapsed="false">
      <c r="A30" s="44" t="s">
        <v>55</v>
      </c>
      <c r="B30" s="45" t="n">
        <v>0</v>
      </c>
      <c r="C30" s="45" t="n">
        <v>2</v>
      </c>
      <c r="D30" s="45" t="n">
        <v>0</v>
      </c>
      <c r="E30" s="45" t="n">
        <v>0</v>
      </c>
      <c r="F30" s="87"/>
      <c r="G30" s="87"/>
      <c r="H30" s="87"/>
      <c r="I30" s="87"/>
      <c r="J30" s="90" t="n">
        <f aca="false">SUM(B30:I30)</f>
        <v>2</v>
      </c>
      <c r="K30" s="91" t="n">
        <f aca="false">J30+J29</f>
        <v>4</v>
      </c>
      <c r="L30" s="92"/>
    </row>
    <row r="31" customFormat="false" ht="12.8" hidden="false" customHeight="false" outlineLevel="0" collapsed="false">
      <c r="A31" s="44" t="s">
        <v>56</v>
      </c>
      <c r="B31" s="45" t="n">
        <v>2</v>
      </c>
      <c r="C31" s="45" t="n">
        <v>2</v>
      </c>
      <c r="D31" s="45" t="n">
        <v>0</v>
      </c>
      <c r="E31" s="45" t="n">
        <v>2</v>
      </c>
      <c r="F31" s="87"/>
      <c r="G31" s="87"/>
      <c r="H31" s="87"/>
      <c r="I31" s="87"/>
      <c r="J31" s="90" t="n">
        <f aca="false">SUM(B31:I31)</f>
        <v>6</v>
      </c>
      <c r="K31" s="89"/>
      <c r="L31" s="91"/>
    </row>
    <row r="32" customFormat="false" ht="12.8" hidden="false" customHeight="false" outlineLevel="0" collapsed="false">
      <c r="A32" s="44" t="s">
        <v>57</v>
      </c>
      <c r="B32" s="45" t="n">
        <v>0</v>
      </c>
      <c r="C32" s="45" t="n">
        <v>0</v>
      </c>
      <c r="D32" s="45" t="n">
        <v>0</v>
      </c>
      <c r="E32" s="45" t="n">
        <v>0</v>
      </c>
      <c r="F32" s="87"/>
      <c r="G32" s="87"/>
      <c r="H32" s="87"/>
      <c r="I32" s="87"/>
      <c r="J32" s="90" t="n">
        <f aca="false">SUM(B32:I32)</f>
        <v>0</v>
      </c>
      <c r="K32" s="91" t="n">
        <f aca="false">J32+J31</f>
        <v>6</v>
      </c>
      <c r="L32" s="91" t="n">
        <f aca="false">SUM(J29:J32)</f>
        <v>10</v>
      </c>
    </row>
    <row r="33" customFormat="false" ht="12.8" hidden="false" customHeight="false" outlineLevel="0" collapsed="false">
      <c r="A33" s="44" t="s">
        <v>58</v>
      </c>
      <c r="B33" s="45" t="n">
        <v>0</v>
      </c>
      <c r="C33" s="45" t="n">
        <v>1</v>
      </c>
      <c r="D33" s="45" t="n">
        <v>0</v>
      </c>
      <c r="E33" s="45" t="n">
        <v>0</v>
      </c>
      <c r="F33" s="87"/>
      <c r="G33" s="87"/>
      <c r="H33" s="87"/>
      <c r="I33" s="87"/>
      <c r="J33" s="90" t="n">
        <f aca="false">SUM(B33:I33)</f>
        <v>1</v>
      </c>
      <c r="K33" s="89"/>
      <c r="L33" s="89"/>
    </row>
    <row r="34" customFormat="false" ht="12.8" hidden="false" customHeight="false" outlineLevel="0" collapsed="false">
      <c r="A34" s="44" t="s">
        <v>59</v>
      </c>
      <c r="B34" s="45" t="n">
        <v>0</v>
      </c>
      <c r="C34" s="45" t="n">
        <v>0</v>
      </c>
      <c r="D34" s="45" t="n">
        <v>0</v>
      </c>
      <c r="E34" s="45" t="n">
        <v>0</v>
      </c>
      <c r="F34" s="87"/>
      <c r="G34" s="87"/>
      <c r="H34" s="87"/>
      <c r="I34" s="87"/>
      <c r="J34" s="90" t="n">
        <f aca="false">SUM(B34:I34)</f>
        <v>0</v>
      </c>
      <c r="K34" s="91" t="n">
        <f aca="false">J34+J33</f>
        <v>1</v>
      </c>
      <c r="L34" s="92"/>
    </row>
    <row r="35" customFormat="false" ht="12.8" hidden="false" customHeight="false" outlineLevel="0" collapsed="false">
      <c r="A35" s="44" t="s">
        <v>60</v>
      </c>
      <c r="B35" s="45" t="n">
        <v>0</v>
      </c>
      <c r="C35" s="45" t="n">
        <v>0</v>
      </c>
      <c r="D35" s="45" t="n">
        <v>0</v>
      </c>
      <c r="E35" s="45" t="n">
        <v>8</v>
      </c>
      <c r="F35" s="87"/>
      <c r="G35" s="87"/>
      <c r="H35" s="87"/>
      <c r="I35" s="87"/>
      <c r="J35" s="90" t="n">
        <f aca="false">SUM(B35:I35)</f>
        <v>8</v>
      </c>
      <c r="K35" s="89"/>
      <c r="L35" s="91"/>
    </row>
    <row r="36" customFormat="false" ht="12.8" hidden="false" customHeight="false" outlineLevel="0" collapsed="false">
      <c r="A36" s="44" t="s">
        <v>61</v>
      </c>
      <c r="B36" s="45" t="n">
        <v>2</v>
      </c>
      <c r="C36" s="45" t="n">
        <v>2</v>
      </c>
      <c r="D36" s="45" t="n">
        <v>2</v>
      </c>
      <c r="E36" s="45" t="n">
        <v>61</v>
      </c>
      <c r="F36" s="87"/>
      <c r="G36" s="87"/>
      <c r="H36" s="87"/>
      <c r="I36" s="87"/>
      <c r="J36" s="90" t="n">
        <f aca="false">SUM(B36:I36)</f>
        <v>67</v>
      </c>
      <c r="K36" s="91" t="n">
        <f aca="false">J36+J35</f>
        <v>75</v>
      </c>
      <c r="L36" s="91" t="n">
        <f aca="false">SUM(J33:J36)</f>
        <v>76</v>
      </c>
    </row>
    <row r="37" customFormat="false" ht="12.8" hidden="false" customHeight="false" outlineLevel="0" collapsed="false">
      <c r="A37" s="44" t="s">
        <v>62</v>
      </c>
      <c r="B37" s="45" t="n">
        <v>0</v>
      </c>
      <c r="C37" s="45" t="n">
        <v>0</v>
      </c>
      <c r="D37" s="45" t="n">
        <v>0</v>
      </c>
      <c r="E37" s="45" t="n">
        <v>5</v>
      </c>
      <c r="F37" s="87"/>
      <c r="G37" s="87"/>
      <c r="H37" s="87"/>
      <c r="I37" s="87"/>
      <c r="J37" s="90" t="n">
        <f aca="false">SUM(B37:I37)</f>
        <v>5</v>
      </c>
      <c r="K37" s="89"/>
      <c r="L37" s="89"/>
    </row>
    <row r="38" customFormat="false" ht="12.8" hidden="false" customHeight="false" outlineLevel="0" collapsed="false">
      <c r="A38" s="44" t="s">
        <v>63</v>
      </c>
      <c r="B38" s="45" t="n">
        <v>0</v>
      </c>
      <c r="C38" s="45" t="n">
        <v>1</v>
      </c>
      <c r="D38" s="45" t="n">
        <v>0</v>
      </c>
      <c r="E38" s="45" t="n">
        <v>0</v>
      </c>
      <c r="F38" s="87"/>
      <c r="G38" s="87"/>
      <c r="H38" s="87"/>
      <c r="I38" s="87"/>
      <c r="J38" s="90" t="n">
        <f aca="false">SUM(B38:I38)</f>
        <v>1</v>
      </c>
      <c r="K38" s="91" t="n">
        <f aca="false">J38+J37</f>
        <v>6</v>
      </c>
      <c r="L38" s="92"/>
    </row>
    <row r="39" customFormat="false" ht="12.8" hidden="false" customHeight="false" outlineLevel="0" collapsed="false">
      <c r="A39" s="44" t="s">
        <v>64</v>
      </c>
      <c r="B39" s="45" t="n">
        <v>0</v>
      </c>
      <c r="C39" s="45" t="n">
        <v>0</v>
      </c>
      <c r="D39" s="45" t="n">
        <v>3</v>
      </c>
      <c r="E39" s="45" t="n">
        <v>1</v>
      </c>
      <c r="F39" s="87"/>
      <c r="G39" s="87"/>
      <c r="H39" s="87"/>
      <c r="I39" s="87"/>
      <c r="J39" s="90" t="n">
        <f aca="false">SUM(B39:I39)</f>
        <v>4</v>
      </c>
      <c r="K39" s="89"/>
      <c r="L39" s="91"/>
    </row>
    <row r="40" customFormat="false" ht="12.8" hidden="false" customHeight="false" outlineLevel="0" collapsed="false">
      <c r="A40" s="44" t="s">
        <v>65</v>
      </c>
      <c r="B40" s="45" t="n">
        <v>5</v>
      </c>
      <c r="C40" s="45" t="n">
        <v>0</v>
      </c>
      <c r="D40" s="45" t="n">
        <v>1</v>
      </c>
      <c r="E40" s="45" t="n">
        <v>21</v>
      </c>
      <c r="F40" s="87"/>
      <c r="G40" s="87"/>
      <c r="H40" s="87"/>
      <c r="I40" s="87"/>
      <c r="J40" s="90" t="n">
        <f aca="false">SUM(B40:I40)</f>
        <v>27</v>
      </c>
      <c r="K40" s="91" t="n">
        <f aca="false">J40+J39</f>
        <v>31</v>
      </c>
      <c r="L40" s="91" t="n">
        <f aca="false">SUM(J37:J40)</f>
        <v>37</v>
      </c>
    </row>
    <row r="41" customFormat="false" ht="12.8" hidden="false" customHeight="false" outlineLevel="0" collapsed="false">
      <c r="A41" s="44" t="s">
        <v>66</v>
      </c>
      <c r="B41" s="45" t="n">
        <v>1</v>
      </c>
      <c r="C41" s="45" t="n">
        <v>0</v>
      </c>
      <c r="D41" s="45" t="n">
        <v>0</v>
      </c>
      <c r="E41" s="45" t="n">
        <v>0</v>
      </c>
      <c r="F41" s="87"/>
      <c r="G41" s="87"/>
      <c r="H41" s="87"/>
      <c r="I41" s="87"/>
      <c r="J41" s="90" t="n">
        <f aca="false">SUM(B41:I41)</f>
        <v>1</v>
      </c>
      <c r="K41" s="89"/>
      <c r="L41" s="89"/>
    </row>
    <row r="42" customFormat="false" ht="12.8" hidden="false" customHeight="false" outlineLevel="0" collapsed="false">
      <c r="A42" s="44" t="s">
        <v>67</v>
      </c>
      <c r="B42" s="45" t="n">
        <v>0</v>
      </c>
      <c r="C42" s="45" t="n">
        <v>0</v>
      </c>
      <c r="D42" s="45" t="n">
        <v>0</v>
      </c>
      <c r="E42" s="45" t="n">
        <v>0</v>
      </c>
      <c r="F42" s="87"/>
      <c r="G42" s="87"/>
      <c r="H42" s="87"/>
      <c r="I42" s="87"/>
      <c r="J42" s="90" t="n">
        <f aca="false">SUM(B42:I42)</f>
        <v>0</v>
      </c>
      <c r="K42" s="91" t="n">
        <f aca="false">J42+J41</f>
        <v>1</v>
      </c>
      <c r="L42" s="92"/>
    </row>
    <row r="43" customFormat="false" ht="12.8" hidden="false" customHeight="false" outlineLevel="0" collapsed="false">
      <c r="A43" s="44" t="s">
        <v>68</v>
      </c>
      <c r="B43" s="45" t="n">
        <v>0</v>
      </c>
      <c r="C43" s="45" t="n">
        <v>0</v>
      </c>
      <c r="D43" s="45" t="n">
        <v>0</v>
      </c>
      <c r="E43" s="45" t="n">
        <v>0</v>
      </c>
      <c r="F43" s="87"/>
      <c r="G43" s="87"/>
      <c r="H43" s="87"/>
      <c r="I43" s="87"/>
      <c r="J43" s="90" t="n">
        <f aca="false">SUM(B43:I43)</f>
        <v>0</v>
      </c>
      <c r="K43" s="89"/>
      <c r="L43" s="91"/>
    </row>
    <row r="44" customFormat="false" ht="12.8" hidden="false" customHeight="false" outlineLevel="0" collapsed="false">
      <c r="A44" s="44" t="s">
        <v>69</v>
      </c>
      <c r="B44" s="45" t="n">
        <v>0</v>
      </c>
      <c r="C44" s="45" t="n">
        <v>0</v>
      </c>
      <c r="D44" s="45" t="n">
        <v>1</v>
      </c>
      <c r="E44" s="45" t="n">
        <v>0</v>
      </c>
      <c r="F44" s="87"/>
      <c r="G44" s="87"/>
      <c r="H44" s="87"/>
      <c r="I44" s="87"/>
      <c r="J44" s="90" t="n">
        <f aca="false">SUM(B44:I44)</f>
        <v>1</v>
      </c>
      <c r="K44" s="91" t="n">
        <f aca="false">J44+J43</f>
        <v>1</v>
      </c>
      <c r="L44" s="91" t="n">
        <f aca="false">SUM(J41:J44)</f>
        <v>2</v>
      </c>
    </row>
    <row r="45" customFormat="false" ht="12.8" hidden="false" customHeight="false" outlineLevel="0" collapsed="false">
      <c r="A45" s="44" t="s">
        <v>70</v>
      </c>
      <c r="B45" s="45" t="n">
        <v>0</v>
      </c>
      <c r="C45" s="45" t="n">
        <v>2</v>
      </c>
      <c r="D45" s="45" t="n">
        <v>1</v>
      </c>
      <c r="E45" s="45" t="n">
        <v>0</v>
      </c>
      <c r="F45" s="87"/>
      <c r="G45" s="87"/>
      <c r="H45" s="87"/>
      <c r="I45" s="87"/>
      <c r="J45" s="90" t="n">
        <f aca="false">SUM(B45:I45)</f>
        <v>3</v>
      </c>
      <c r="K45" s="89"/>
      <c r="L45" s="89"/>
    </row>
    <row r="46" customFormat="false" ht="12.8" hidden="false" customHeight="false" outlineLevel="0" collapsed="false">
      <c r="A46" s="44" t="s">
        <v>71</v>
      </c>
      <c r="B46" s="45" t="n">
        <v>0</v>
      </c>
      <c r="C46" s="45" t="n">
        <v>0</v>
      </c>
      <c r="D46" s="45" t="n">
        <v>0</v>
      </c>
      <c r="E46" s="45" t="n">
        <v>0</v>
      </c>
      <c r="F46" s="87"/>
      <c r="G46" s="87"/>
      <c r="H46" s="87"/>
      <c r="I46" s="87"/>
      <c r="J46" s="90" t="n">
        <f aca="false">SUM(B46:I46)</f>
        <v>0</v>
      </c>
      <c r="K46" s="91" t="n">
        <f aca="false">J46+J45</f>
        <v>3</v>
      </c>
      <c r="L46" s="92"/>
    </row>
    <row r="47" customFormat="false" ht="12.8" hidden="false" customHeight="false" outlineLevel="0" collapsed="false">
      <c r="A47" s="44" t="s">
        <v>72</v>
      </c>
      <c r="B47" s="45" t="n">
        <v>0</v>
      </c>
      <c r="C47" s="45" t="n">
        <v>2</v>
      </c>
      <c r="D47" s="45" t="n">
        <v>2</v>
      </c>
      <c r="E47" s="45" t="n">
        <v>2</v>
      </c>
      <c r="F47" s="87"/>
      <c r="G47" s="87"/>
      <c r="H47" s="87"/>
      <c r="I47" s="87"/>
      <c r="J47" s="90" t="n">
        <f aca="false">SUM(B47:I47)</f>
        <v>6</v>
      </c>
      <c r="K47" s="89"/>
      <c r="L47" s="91"/>
    </row>
    <row r="48" customFormat="false" ht="12.8" hidden="false" customHeight="false" outlineLevel="0" collapsed="false">
      <c r="A48" s="44" t="s">
        <v>73</v>
      </c>
      <c r="B48" s="45" t="n">
        <v>2</v>
      </c>
      <c r="C48" s="45" t="n">
        <v>1</v>
      </c>
      <c r="D48" s="45" t="n">
        <v>1</v>
      </c>
      <c r="E48" s="45" t="n">
        <v>0</v>
      </c>
      <c r="F48" s="87"/>
      <c r="G48" s="87"/>
      <c r="H48" s="87"/>
      <c r="I48" s="87"/>
      <c r="J48" s="90" t="n">
        <f aca="false">SUM(B48:I48)</f>
        <v>4</v>
      </c>
      <c r="K48" s="91" t="n">
        <f aca="false">J48+J47</f>
        <v>10</v>
      </c>
      <c r="L48" s="91" t="n">
        <f aca="false">SUM(J45:J48)</f>
        <v>13</v>
      </c>
    </row>
    <row r="49" customFormat="false" ht="12.8" hidden="false" customHeight="false" outlineLevel="0" collapsed="false">
      <c r="A49" s="44" t="s">
        <v>74</v>
      </c>
      <c r="B49" s="45" t="n">
        <v>0</v>
      </c>
      <c r="C49" s="45" t="n">
        <v>0</v>
      </c>
      <c r="D49" s="45" t="n">
        <v>0</v>
      </c>
      <c r="E49" s="45" t="n">
        <v>0</v>
      </c>
      <c r="F49" s="87"/>
      <c r="G49" s="87"/>
      <c r="H49" s="87"/>
      <c r="I49" s="87"/>
      <c r="J49" s="90" t="n">
        <f aca="false">SUM(B49:I49)</f>
        <v>0</v>
      </c>
      <c r="K49" s="89"/>
      <c r="L49" s="89"/>
    </row>
    <row r="50" customFormat="false" ht="12.8" hidden="false" customHeight="false" outlineLevel="0" collapsed="false">
      <c r="A50" s="44" t="s">
        <v>75</v>
      </c>
      <c r="B50" s="45" t="n">
        <v>0</v>
      </c>
      <c r="C50" s="45" t="n">
        <v>0</v>
      </c>
      <c r="D50" s="45" t="n">
        <v>0</v>
      </c>
      <c r="E50" s="45" t="n">
        <v>0</v>
      </c>
      <c r="F50" s="87"/>
      <c r="G50" s="87"/>
      <c r="H50" s="87"/>
      <c r="I50" s="87"/>
      <c r="J50" s="90" t="n">
        <f aca="false">SUM(B50:I50)</f>
        <v>0</v>
      </c>
      <c r="K50" s="91" t="n">
        <f aca="false">J50+J49</f>
        <v>0</v>
      </c>
      <c r="L50" s="92"/>
    </row>
    <row r="51" customFormat="false" ht="12.8" hidden="false" customHeight="false" outlineLevel="0" collapsed="false">
      <c r="A51" s="44" t="s">
        <v>76</v>
      </c>
      <c r="B51" s="45" t="n">
        <v>0</v>
      </c>
      <c r="C51" s="45" t="n">
        <v>1</v>
      </c>
      <c r="D51" s="45" t="n">
        <v>0</v>
      </c>
      <c r="E51" s="45" t="n">
        <v>2</v>
      </c>
      <c r="F51" s="87"/>
      <c r="G51" s="87"/>
      <c r="H51" s="87"/>
      <c r="I51" s="87"/>
      <c r="J51" s="90" t="n">
        <f aca="false">SUM(B51:I51)</f>
        <v>3</v>
      </c>
      <c r="K51" s="89"/>
      <c r="L51" s="91"/>
    </row>
    <row r="52" customFormat="false" ht="12.8" hidden="false" customHeight="false" outlineLevel="0" collapsed="false">
      <c r="A52" s="44" t="s">
        <v>77</v>
      </c>
      <c r="B52" s="45" t="n">
        <v>0</v>
      </c>
      <c r="C52" s="45" t="n">
        <v>1</v>
      </c>
      <c r="D52" s="45" t="n">
        <v>0</v>
      </c>
      <c r="E52" s="45" t="n">
        <v>0</v>
      </c>
      <c r="F52" s="87"/>
      <c r="G52" s="87"/>
      <c r="H52" s="87"/>
      <c r="I52" s="87"/>
      <c r="J52" s="90" t="n">
        <f aca="false">SUM(B52:I52)</f>
        <v>1</v>
      </c>
      <c r="K52" s="93" t="n">
        <f aca="false">J52+J51</f>
        <v>4</v>
      </c>
      <c r="L52" s="91" t="n">
        <f aca="false">SUM(J49:J52)</f>
        <v>4</v>
      </c>
    </row>
    <row r="53" customFormat="false" ht="12.8" hidden="false" customHeight="false" outlineLevel="0" collapsed="false">
      <c r="A53" s="44" t="s">
        <v>78</v>
      </c>
      <c r="B53" s="45" t="n">
        <v>0</v>
      </c>
      <c r="C53" s="45" t="n">
        <v>0</v>
      </c>
      <c r="D53" s="45" t="n">
        <v>0</v>
      </c>
      <c r="E53" s="45" t="n">
        <v>1</v>
      </c>
      <c r="F53" s="87"/>
      <c r="G53" s="87"/>
      <c r="H53" s="87"/>
      <c r="I53" s="87"/>
      <c r="J53" s="90" t="n">
        <f aca="false">SUM(B53:I53)</f>
        <v>1</v>
      </c>
      <c r="K53" s="89"/>
      <c r="L53" s="89"/>
    </row>
    <row r="54" customFormat="false" ht="12.8" hidden="false" customHeight="false" outlineLevel="0" collapsed="false">
      <c r="A54" s="44" t="s">
        <v>79</v>
      </c>
      <c r="B54" s="45" t="n">
        <v>0</v>
      </c>
      <c r="C54" s="45" t="n">
        <v>0</v>
      </c>
      <c r="D54" s="45" t="n">
        <v>0</v>
      </c>
      <c r="E54" s="45" t="n">
        <v>0</v>
      </c>
      <c r="F54" s="87"/>
      <c r="G54" s="87"/>
      <c r="H54" s="87"/>
      <c r="I54" s="87"/>
      <c r="J54" s="90" t="n">
        <f aca="false">SUM(B54:I54)</f>
        <v>0</v>
      </c>
      <c r="K54" s="91" t="n">
        <f aca="false">J54+J53</f>
        <v>1</v>
      </c>
      <c r="L54" s="92"/>
    </row>
    <row r="55" customFormat="false" ht="12.8" hidden="false" customHeight="false" outlineLevel="0" collapsed="false">
      <c r="A55" s="44" t="s">
        <v>80</v>
      </c>
      <c r="B55" s="45" t="n">
        <v>0</v>
      </c>
      <c r="C55" s="45" t="n">
        <v>0</v>
      </c>
      <c r="D55" s="45" t="n">
        <v>0</v>
      </c>
      <c r="E55" s="45" t="n">
        <v>0</v>
      </c>
      <c r="F55" s="87"/>
      <c r="G55" s="87"/>
      <c r="H55" s="87"/>
      <c r="I55" s="87"/>
      <c r="J55" s="90" t="n">
        <f aca="false">SUM(B55:I55)</f>
        <v>0</v>
      </c>
      <c r="K55" s="89"/>
      <c r="L55" s="91"/>
    </row>
    <row r="56" customFormat="false" ht="12.8" hidden="false" customHeight="false" outlineLevel="0" collapsed="false">
      <c r="A56" s="44" t="s">
        <v>81</v>
      </c>
      <c r="B56" s="45" t="n">
        <v>0</v>
      </c>
      <c r="C56" s="45" t="n">
        <v>0</v>
      </c>
      <c r="D56" s="45" t="n">
        <v>0</v>
      </c>
      <c r="E56" s="45" t="n">
        <v>0</v>
      </c>
      <c r="F56" s="87"/>
      <c r="G56" s="87"/>
      <c r="H56" s="87"/>
      <c r="I56" s="87"/>
      <c r="J56" s="90" t="n">
        <f aca="false">SUM(B56:I56)</f>
        <v>0</v>
      </c>
      <c r="K56" s="91" t="n">
        <f aca="false">J56+J55</f>
        <v>0</v>
      </c>
      <c r="L56" s="91" t="n">
        <f aca="false">SUM(J53:J56)</f>
        <v>1</v>
      </c>
    </row>
    <row r="57" customFormat="false" ht="12.8" hidden="false" customHeight="false" outlineLevel="0" collapsed="false">
      <c r="A57" s="44" t="s">
        <v>82</v>
      </c>
      <c r="B57" s="45" t="n">
        <v>0</v>
      </c>
      <c r="C57" s="45" t="n">
        <v>2</v>
      </c>
      <c r="D57" s="45" t="n">
        <v>0</v>
      </c>
      <c r="E57" s="45" t="n">
        <v>0</v>
      </c>
      <c r="F57" s="87"/>
      <c r="G57" s="87"/>
      <c r="H57" s="87"/>
      <c r="I57" s="87"/>
      <c r="J57" s="90" t="n">
        <f aca="false">SUM(B57:I57)</f>
        <v>2</v>
      </c>
      <c r="K57" s="89"/>
      <c r="L57" s="89"/>
    </row>
    <row r="58" customFormat="false" ht="12.8" hidden="false" customHeight="false" outlineLevel="0" collapsed="false">
      <c r="A58" s="44" t="s">
        <v>83</v>
      </c>
      <c r="B58" s="45" t="n">
        <v>0</v>
      </c>
      <c r="C58" s="45" t="n">
        <v>1</v>
      </c>
      <c r="D58" s="45" t="n">
        <v>0</v>
      </c>
      <c r="E58" s="45" t="n">
        <v>0</v>
      </c>
      <c r="F58" s="87"/>
      <c r="G58" s="87"/>
      <c r="H58" s="87"/>
      <c r="I58" s="87"/>
      <c r="J58" s="90" t="n">
        <f aca="false">SUM(B58:I58)</f>
        <v>1</v>
      </c>
      <c r="K58" s="91" t="n">
        <f aca="false">J58+J57</f>
        <v>3</v>
      </c>
      <c r="L58" s="92"/>
    </row>
    <row r="59" customFormat="false" ht="12.8" hidden="false" customHeight="false" outlineLevel="0" collapsed="false">
      <c r="A59" s="44" t="s">
        <v>84</v>
      </c>
      <c r="B59" s="45" t="n">
        <v>0</v>
      </c>
      <c r="C59" s="45" t="n">
        <v>0</v>
      </c>
      <c r="D59" s="45" t="n">
        <v>0</v>
      </c>
      <c r="E59" s="45" t="n">
        <v>0</v>
      </c>
      <c r="F59" s="87"/>
      <c r="G59" s="87"/>
      <c r="H59" s="87"/>
      <c r="I59" s="87"/>
      <c r="J59" s="90" t="n">
        <f aca="false">SUM(B59:I59)</f>
        <v>0</v>
      </c>
      <c r="K59" s="89"/>
      <c r="L59" s="91"/>
    </row>
    <row r="60" customFormat="false" ht="12.8" hidden="false" customHeight="false" outlineLevel="0" collapsed="false">
      <c r="A60" s="44" t="s">
        <v>85</v>
      </c>
      <c r="B60" s="45" t="n">
        <v>0</v>
      </c>
      <c r="C60" s="45" t="n">
        <v>0</v>
      </c>
      <c r="D60" s="45" t="n">
        <v>0</v>
      </c>
      <c r="E60" s="45" t="n">
        <v>0</v>
      </c>
      <c r="F60" s="87"/>
      <c r="G60" s="87"/>
      <c r="H60" s="87"/>
      <c r="I60" s="87"/>
      <c r="J60" s="90" t="n">
        <f aca="false">SUM(B60:I60)</f>
        <v>0</v>
      </c>
      <c r="K60" s="91" t="n">
        <f aca="false">J60+J59</f>
        <v>0</v>
      </c>
      <c r="L60" s="91" t="n">
        <f aca="false">SUM(J57:J60)</f>
        <v>3</v>
      </c>
    </row>
    <row r="61" customFormat="false" ht="12.8" hidden="false" customHeight="false" outlineLevel="0" collapsed="false">
      <c r="A61" s="44" t="s">
        <v>86</v>
      </c>
      <c r="B61" s="45" t="n">
        <v>0</v>
      </c>
      <c r="C61" s="45" t="n">
        <v>0</v>
      </c>
      <c r="D61" s="45" t="n">
        <v>0</v>
      </c>
      <c r="E61" s="45" t="n">
        <v>0</v>
      </c>
      <c r="F61" s="87"/>
      <c r="G61" s="87"/>
      <c r="H61" s="87"/>
      <c r="I61" s="87"/>
      <c r="J61" s="90" t="n">
        <f aca="false">SUM(B61:I61)</f>
        <v>0</v>
      </c>
      <c r="K61" s="89"/>
      <c r="L61" s="89"/>
    </row>
    <row r="62" customFormat="false" ht="12.8" hidden="false" customHeight="false" outlineLevel="0" collapsed="false">
      <c r="A62" s="44" t="s">
        <v>87</v>
      </c>
      <c r="B62" s="45" t="n">
        <v>0</v>
      </c>
      <c r="C62" s="45" t="n">
        <v>0</v>
      </c>
      <c r="D62" s="45" t="n">
        <v>1</v>
      </c>
      <c r="E62" s="45" t="n">
        <v>1</v>
      </c>
      <c r="F62" s="87"/>
      <c r="G62" s="87"/>
      <c r="H62" s="87"/>
      <c r="I62" s="87"/>
      <c r="J62" s="90" t="n">
        <f aca="false">SUM(B62:I62)</f>
        <v>2</v>
      </c>
      <c r="K62" s="91" t="n">
        <f aca="false">J62+J61</f>
        <v>2</v>
      </c>
      <c r="L62" s="92"/>
    </row>
    <row r="63" customFormat="false" ht="12.8" hidden="false" customHeight="false" outlineLevel="0" collapsed="false">
      <c r="A63" s="44" t="s">
        <v>88</v>
      </c>
      <c r="B63" s="45" t="n">
        <v>0</v>
      </c>
      <c r="C63" s="45" t="n">
        <v>2</v>
      </c>
      <c r="D63" s="45" t="n">
        <v>1</v>
      </c>
      <c r="E63" s="45" t="n">
        <v>0</v>
      </c>
      <c r="F63" s="87"/>
      <c r="G63" s="87"/>
      <c r="H63" s="87"/>
      <c r="I63" s="87"/>
      <c r="J63" s="90" t="n">
        <f aca="false">SUM(B63:I63)</f>
        <v>3</v>
      </c>
      <c r="K63" s="89"/>
      <c r="L63" s="91"/>
    </row>
    <row r="64" customFormat="false" ht="12.8" hidden="false" customHeight="false" outlineLevel="0" collapsed="false">
      <c r="A64" s="44" t="s">
        <v>89</v>
      </c>
      <c r="B64" s="45" t="n">
        <v>0</v>
      </c>
      <c r="C64" s="45" t="n">
        <v>0</v>
      </c>
      <c r="D64" s="45" t="n">
        <v>0</v>
      </c>
      <c r="E64" s="45" t="n">
        <v>0</v>
      </c>
      <c r="F64" s="87"/>
      <c r="G64" s="87"/>
      <c r="H64" s="87"/>
      <c r="I64" s="87"/>
      <c r="J64" s="90" t="n">
        <f aca="false">SUM(B64:I64)</f>
        <v>0</v>
      </c>
      <c r="K64" s="91" t="n">
        <f aca="false">J64+J63</f>
        <v>3</v>
      </c>
      <c r="L64" s="91" t="n">
        <f aca="false">SUM(J61:J64)</f>
        <v>5</v>
      </c>
    </row>
    <row r="65" customFormat="false" ht="12.8" hidden="false" customHeight="false" outlineLevel="0" collapsed="false">
      <c r="A65" s="44" t="s">
        <v>90</v>
      </c>
      <c r="B65" s="45" t="n">
        <v>0</v>
      </c>
      <c r="C65" s="45" t="n">
        <v>1</v>
      </c>
      <c r="D65" s="45" t="n">
        <v>2</v>
      </c>
      <c r="E65" s="45" t="n">
        <v>0</v>
      </c>
      <c r="F65" s="87"/>
      <c r="G65" s="87"/>
      <c r="H65" s="87"/>
      <c r="I65" s="87"/>
      <c r="J65" s="90" t="n">
        <f aca="false">SUM(B65:I65)</f>
        <v>3</v>
      </c>
      <c r="K65" s="89"/>
      <c r="L65" s="89"/>
    </row>
    <row r="66" customFormat="false" ht="12.8" hidden="false" customHeight="false" outlineLevel="0" collapsed="false">
      <c r="A66" s="44" t="s">
        <v>91</v>
      </c>
      <c r="B66" s="45" t="n">
        <v>0</v>
      </c>
      <c r="C66" s="45" t="n">
        <v>0</v>
      </c>
      <c r="D66" s="45" t="n">
        <v>0</v>
      </c>
      <c r="E66" s="45" t="n">
        <v>0</v>
      </c>
      <c r="F66" s="87"/>
      <c r="G66" s="87"/>
      <c r="H66" s="87"/>
      <c r="I66" s="87"/>
      <c r="J66" s="90" t="n">
        <f aca="false">SUM(B66:I66)</f>
        <v>0</v>
      </c>
      <c r="K66" s="91" t="n">
        <f aca="false">J66+J65</f>
        <v>3</v>
      </c>
      <c r="L66" s="92"/>
    </row>
    <row r="67" customFormat="false" ht="12.8" hidden="false" customHeight="false" outlineLevel="0" collapsed="false">
      <c r="A67" s="44" t="s">
        <v>92</v>
      </c>
      <c r="B67" s="45" t="n">
        <v>0</v>
      </c>
      <c r="C67" s="45" t="n">
        <v>1</v>
      </c>
      <c r="D67" s="45" t="n">
        <v>0</v>
      </c>
      <c r="E67" s="45" t="n">
        <v>0</v>
      </c>
      <c r="F67" s="87"/>
      <c r="G67" s="87"/>
      <c r="H67" s="87"/>
      <c r="I67" s="87"/>
      <c r="J67" s="90" t="n">
        <f aca="false">SUM(B67:I67)</f>
        <v>1</v>
      </c>
      <c r="K67" s="89"/>
      <c r="L67" s="91"/>
    </row>
    <row r="68" customFormat="false" ht="12.8" hidden="false" customHeight="false" outlineLevel="0" collapsed="false">
      <c r="A68" s="44" t="s">
        <v>93</v>
      </c>
      <c r="B68" s="45" t="n">
        <v>0</v>
      </c>
      <c r="C68" s="45" t="n">
        <v>1</v>
      </c>
      <c r="D68" s="45" t="n">
        <v>1</v>
      </c>
      <c r="E68" s="45" t="n">
        <v>0</v>
      </c>
      <c r="F68" s="87"/>
      <c r="G68" s="87"/>
      <c r="H68" s="87"/>
      <c r="I68" s="87"/>
      <c r="J68" s="90" t="n">
        <f aca="false">SUM(B68:I68)</f>
        <v>2</v>
      </c>
      <c r="K68" s="93" t="n">
        <f aca="false">J68+J67</f>
        <v>3</v>
      </c>
      <c r="L68" s="93" t="n">
        <f aca="false">SUM(J65:J68)</f>
        <v>6</v>
      </c>
    </row>
    <row r="69" customFormat="false" ht="12.8" hidden="false" customHeight="false" outlineLevel="0" collapsed="false">
      <c r="A69" s="94" t="s">
        <v>94</v>
      </c>
      <c r="B69" s="95" t="n">
        <f aca="false">SUM(B13:B68)</f>
        <v>22</v>
      </c>
      <c r="C69" s="95" t="n">
        <f aca="false">SUM(C13:C68)</f>
        <v>44</v>
      </c>
      <c r="D69" s="95" t="n">
        <f aca="false">SUM(D13:D68)</f>
        <v>16</v>
      </c>
      <c r="E69" s="95" t="n">
        <f aca="false">SUM(E13:E68)</f>
        <v>162</v>
      </c>
      <c r="F69" s="95"/>
      <c r="G69" s="95"/>
      <c r="H69" s="95"/>
      <c r="I69" s="95"/>
      <c r="J69" s="90" t="n">
        <f aca="false">SUM(B69:I69)</f>
        <v>244</v>
      </c>
      <c r="K69" s="96"/>
      <c r="L69" s="96"/>
    </row>
    <row r="70" customFormat="false" ht="12.8" hidden="false" customHeight="false" outlineLevel="0" collapsed="false"/>
    <row r="71" customFormat="false" ht="12.8" hidden="false" customHeight="false" outlineLevel="0" collapsed="false"/>
    <row r="72" customFormat="false" ht="12.8" hidden="false" customHeight="false" outlineLevel="0" collapsed="false"/>
  </sheetData>
  <mergeCells count="3">
    <mergeCell ref="A3:L3"/>
    <mergeCell ref="A4:L4"/>
    <mergeCell ref="K6:L6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32.49"/>
    <col collapsed="false" customWidth="true" hidden="false" outlineLevel="0" max="2" min="2" style="1" width="6.51"/>
    <col collapsed="false" customWidth="true" hidden="false" outlineLevel="0" max="26" min="11" style="1" width="9.64"/>
    <col collapsed="false" customWidth="true" hidden="false" outlineLevel="0" max="257" min="27" style="1" width="15.97"/>
  </cols>
  <sheetData>
    <row r="1" customFormat="false" ht="14.25" hidden="false" customHeight="true" outlineLevel="0" collapsed="false">
      <c r="A1" s="97" t="s">
        <v>107</v>
      </c>
      <c r="B1" s="98"/>
      <c r="C1" s="98"/>
      <c r="D1" s="98"/>
      <c r="E1" s="98"/>
      <c r="F1" s="98"/>
      <c r="G1" s="98"/>
      <c r="H1" s="98"/>
      <c r="I1" s="98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2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4.25" hidden="false" customHeight="true" outlineLevel="0" collapsed="false">
      <c r="A3" s="99" t="s">
        <v>30</v>
      </c>
      <c r="B3" s="100" t="n">
        <v>0.5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4.25" hidden="false" customHeight="true" outlineLevel="0" collapsed="false">
      <c r="A4" s="99" t="s">
        <v>108</v>
      </c>
      <c r="B4" s="100" t="n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4.25" hidden="false" customHeight="true" outlineLevel="0" collapsed="false">
      <c r="A5" s="101" t="s">
        <v>109</v>
      </c>
      <c r="B5" s="100" t="n">
        <v>1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4.25" hidden="false" customHeight="true" outlineLevel="0" collapsed="false">
      <c r="A6" s="101" t="s">
        <v>110</v>
      </c>
      <c r="B6" s="100" t="n">
        <v>1.5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4.25" hidden="false" customHeight="true" outlineLevel="0" collapsed="false">
      <c r="A7" s="101" t="s">
        <v>111</v>
      </c>
      <c r="B7" s="100" t="n">
        <v>1.5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4.25" hidden="false" customHeight="true" outlineLevel="0" collapsed="false">
      <c r="A8" s="101" t="s">
        <v>33</v>
      </c>
      <c r="B8" s="100" t="n">
        <v>1.5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4.25" hidden="false" customHeight="true" outlineLevel="0" collapsed="false">
      <c r="A9" s="101" t="s">
        <v>112</v>
      </c>
      <c r="B9" s="100" t="n">
        <v>2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4.25" hidden="false" customHeight="true" outlineLevel="0" collapsed="false">
      <c r="A10" s="101" t="s">
        <v>113</v>
      </c>
      <c r="B10" s="100" t="n">
        <v>1.5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4.25" hidden="false" customHeight="tru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4.25" hidden="false" customHeight="true" outlineLevel="0" collapsed="false">
      <c r="A12" s="97" t="s">
        <v>114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4.25" hidden="false" customHeight="tru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4.25" hidden="false" customHeight="true" outlineLevel="0" collapsed="false">
      <c r="A14" s="102" t="s">
        <v>30</v>
      </c>
      <c r="B14" s="103" t="n">
        <v>0.3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4.25" hidden="false" customHeight="true" outlineLevel="0" collapsed="false">
      <c r="A15" s="102" t="s">
        <v>115</v>
      </c>
      <c r="B15" s="103" t="n">
        <v>0.5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4.25" hidden="false" customHeight="true" outlineLevel="0" collapsed="false">
      <c r="A16" s="102" t="s">
        <v>22</v>
      </c>
      <c r="B16" s="103" t="n">
        <v>1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4.25" hidden="false" customHeight="true" outlineLevel="0" collapsed="false">
      <c r="A17" s="102" t="s">
        <v>116</v>
      </c>
      <c r="B17" s="103" t="n">
        <v>2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4.25" hidden="false" customHeight="true" outlineLevel="0" collapsed="false">
      <c r="A18" s="102" t="s">
        <v>117</v>
      </c>
      <c r="B18" s="103" t="n">
        <v>3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4.25" hidden="false" customHeight="true" outlineLevel="0" collapsed="false">
      <c r="A19" s="104" t="s">
        <v>118</v>
      </c>
      <c r="B19" s="103" t="n">
        <v>4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4.25" hidden="false" customHeight="true" outlineLevel="0" collapsed="false">
      <c r="F20" s="1"/>
    </row>
    <row r="21" customFormat="false" ht="14.25" hidden="false" customHeight="true" outlineLevel="0" collapsed="false">
      <c r="F21" s="1"/>
    </row>
    <row r="22" customFormat="false" ht="14.25" hidden="false" customHeight="true" outlineLevel="0" collapsed="false">
      <c r="F22" s="1"/>
    </row>
    <row r="23" customFormat="false" ht="14.25" hidden="false" customHeight="true" outlineLevel="0" collapsed="false">
      <c r="F23" s="1"/>
    </row>
    <row r="24" customFormat="false" ht="14.25" hidden="false" customHeight="true" outlineLevel="0" collapsed="false">
      <c r="F24" s="1"/>
    </row>
    <row r="25" customFormat="false" ht="14.25" hidden="false" customHeight="true" outlineLevel="0" collapsed="false">
      <c r="F25" s="1"/>
    </row>
    <row r="26" customFormat="false" ht="14.25" hidden="false" customHeight="true" outlineLevel="0" collapsed="false">
      <c r="F26" s="1"/>
    </row>
    <row r="27" customFormat="false" ht="14.25" hidden="false" customHeight="true" outlineLevel="0" collapsed="false">
      <c r="F27" s="1"/>
    </row>
    <row r="28" customFormat="false" ht="14.25" hidden="false" customHeight="true" outlineLevel="0" collapsed="false">
      <c r="F28" s="1"/>
    </row>
    <row r="29" customFormat="false" ht="14.25" hidden="false" customHeight="true" outlineLevel="0" collapsed="false">
      <c r="F29" s="1"/>
    </row>
    <row r="30" customFormat="false" ht="14.25" hidden="false" customHeight="true" outlineLevel="0" collapsed="false">
      <c r="F30" s="1"/>
    </row>
    <row r="31" customFormat="false" ht="14.25" hidden="false" customHeight="true" outlineLevel="0" collapsed="false">
      <c r="F31" s="1"/>
    </row>
    <row r="32" customFormat="false" ht="14.25" hidden="false" customHeight="true" outlineLevel="0" collapsed="false">
      <c r="F32" s="1"/>
    </row>
    <row r="33" customFormat="false" ht="14.25" hidden="false" customHeight="true" outlineLevel="0" collapsed="false">
      <c r="F33" s="1"/>
    </row>
    <row r="34" customFormat="false" ht="14.25" hidden="false" customHeight="true" outlineLevel="0" collapsed="false">
      <c r="F34" s="1"/>
    </row>
    <row r="35" customFormat="false" ht="14.25" hidden="false" customHeight="true" outlineLevel="0" collapsed="false">
      <c r="F35" s="1"/>
    </row>
    <row r="36" customFormat="false" ht="14.25" hidden="false" customHeight="true" outlineLevel="0" collapsed="false">
      <c r="F36" s="1"/>
    </row>
    <row r="37" customFormat="false" ht="14.25" hidden="false" customHeight="true" outlineLevel="0" collapsed="false">
      <c r="F37" s="1"/>
    </row>
    <row r="38" customFormat="false" ht="14.25" hidden="false" customHeight="true" outlineLevel="0" collapsed="false">
      <c r="F38" s="1"/>
    </row>
    <row r="39" customFormat="false" ht="14.25" hidden="false" customHeight="true" outlineLevel="0" collapsed="false">
      <c r="F39" s="1"/>
    </row>
    <row r="40" customFormat="false" ht="14.25" hidden="false" customHeight="true" outlineLevel="0" collapsed="false">
      <c r="F40" s="1"/>
    </row>
    <row r="41" customFormat="false" ht="14.25" hidden="false" customHeight="true" outlineLevel="0" collapsed="false">
      <c r="F41" s="1"/>
    </row>
    <row r="42" customFormat="false" ht="14.25" hidden="false" customHeight="true" outlineLevel="0" collapsed="false">
      <c r="F42" s="1"/>
    </row>
    <row r="43" customFormat="false" ht="14.25" hidden="false" customHeight="true" outlineLevel="0" collapsed="false">
      <c r="F43" s="1"/>
    </row>
    <row r="44" customFormat="false" ht="14.25" hidden="false" customHeight="true" outlineLevel="0" collapsed="false">
      <c r="F44" s="1"/>
    </row>
    <row r="45" customFormat="false" ht="14.25" hidden="false" customHeight="true" outlineLevel="0" collapsed="false">
      <c r="F45" s="1"/>
    </row>
    <row r="46" customFormat="false" ht="14.25" hidden="false" customHeight="true" outlineLevel="0" collapsed="false">
      <c r="F46" s="1"/>
    </row>
    <row r="47" customFormat="false" ht="14.25" hidden="false" customHeight="true" outlineLevel="0" collapsed="false">
      <c r="F47" s="1"/>
    </row>
    <row r="48" customFormat="false" ht="14.25" hidden="false" customHeight="true" outlineLevel="0" collapsed="false">
      <c r="F48" s="1"/>
    </row>
    <row r="49" customFormat="false" ht="14.25" hidden="false" customHeight="true" outlineLevel="0" collapsed="false">
      <c r="F49" s="1"/>
    </row>
    <row r="50" customFormat="false" ht="14.25" hidden="false" customHeight="true" outlineLevel="0" collapsed="false">
      <c r="F50" s="1"/>
    </row>
    <row r="51" customFormat="false" ht="14.25" hidden="false" customHeight="true" outlineLevel="0" collapsed="false">
      <c r="F51" s="1"/>
    </row>
    <row r="52" customFormat="false" ht="14.25" hidden="false" customHeight="true" outlineLevel="0" collapsed="false">
      <c r="F52" s="1"/>
    </row>
    <row r="53" customFormat="false" ht="14.25" hidden="false" customHeight="true" outlineLevel="0" collapsed="false">
      <c r="F53" s="1"/>
    </row>
    <row r="54" customFormat="false" ht="14.25" hidden="false" customHeight="true" outlineLevel="0" collapsed="false">
      <c r="F54" s="1"/>
    </row>
    <row r="55" customFormat="false" ht="14.25" hidden="false" customHeight="true" outlineLevel="0" collapsed="false">
      <c r="F55" s="1"/>
    </row>
    <row r="56" customFormat="false" ht="14.25" hidden="false" customHeight="true" outlineLevel="0" collapsed="false">
      <c r="F56" s="1"/>
    </row>
    <row r="57" customFormat="false" ht="14.25" hidden="false" customHeight="true" outlineLevel="0" collapsed="false">
      <c r="F57" s="1"/>
    </row>
    <row r="58" customFormat="false" ht="14.25" hidden="false" customHeight="true" outlineLevel="0" collapsed="false">
      <c r="F58" s="1"/>
    </row>
    <row r="59" customFormat="false" ht="14.25" hidden="false" customHeight="true" outlineLevel="0" collapsed="false">
      <c r="F59" s="1"/>
    </row>
    <row r="60" customFormat="false" ht="14.25" hidden="false" customHeight="true" outlineLevel="0" collapsed="false">
      <c r="F60" s="1"/>
    </row>
    <row r="61" customFormat="false" ht="14.25" hidden="false" customHeight="true" outlineLevel="0" collapsed="false">
      <c r="F61" s="1"/>
    </row>
    <row r="62" customFormat="false" ht="14.25" hidden="false" customHeight="true" outlineLevel="0" collapsed="false">
      <c r="F62" s="1"/>
    </row>
    <row r="63" customFormat="false" ht="14.25" hidden="false" customHeight="true" outlineLevel="0" collapsed="false">
      <c r="F63" s="1"/>
    </row>
    <row r="64" customFormat="false" ht="14.25" hidden="false" customHeight="true" outlineLevel="0" collapsed="false">
      <c r="F64" s="1"/>
    </row>
    <row r="65" customFormat="false" ht="14.25" hidden="false" customHeight="true" outlineLevel="0" collapsed="false">
      <c r="F65" s="1"/>
    </row>
    <row r="66" customFormat="false" ht="14.25" hidden="false" customHeight="true" outlineLevel="0" collapsed="false">
      <c r="F66" s="1"/>
    </row>
    <row r="67" customFormat="false" ht="14.25" hidden="false" customHeight="true" outlineLevel="0" collapsed="false">
      <c r="F67" s="1"/>
    </row>
    <row r="68" customFormat="false" ht="14.25" hidden="false" customHeight="true" outlineLevel="0" collapsed="false">
      <c r="F68" s="1"/>
    </row>
    <row r="69" customFormat="false" ht="14.25" hidden="false" customHeight="true" outlineLevel="0" collapsed="false">
      <c r="F69" s="1"/>
    </row>
    <row r="70" customFormat="false" ht="14.25" hidden="false" customHeight="true" outlineLevel="0" collapsed="false">
      <c r="F70" s="1"/>
    </row>
    <row r="71" customFormat="false" ht="14.25" hidden="false" customHeight="true" outlineLevel="0" collapsed="false">
      <c r="F71" s="1"/>
    </row>
    <row r="72" customFormat="false" ht="14.25" hidden="false" customHeight="true" outlineLevel="0" collapsed="false">
      <c r="F72" s="1"/>
    </row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2036</TotalTime>
  <Application>LibreOffice/7.5.3.2$Windows_X86_64 LibreOffice_project/9f56dff12ba03b9acd7730a5a481eea045e468f3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dcterms:modified xsi:type="dcterms:W3CDTF">2023-05-06T18:54:46Z</dcterms:modified>
  <cp:revision>213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