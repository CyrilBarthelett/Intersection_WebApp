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Datenserver\Daten\Allgemeines\Cyril\Verkehrszählung_Beispiel\Zaehlergebnisse_ICRA_Originale\"/>
    </mc:Choice>
  </mc:AlternateContent>
  <xr:revisionPtr revIDLastSave="0" documentId="13_ncr:1_{B0EB5B37-8226-4B62-8CD0-585935F38BC8}" xr6:coauthVersionLast="47" xr6:coauthVersionMax="47" xr10:uidLastSave="{00000000-0000-0000-0000-000000000000}"/>
  <bookViews>
    <workbookView xWindow="-28920" yWindow="1185" windowWidth="29040" windowHeight="17520" tabRatio="500" activeTab="1" xr2:uid="{00000000-000D-0000-FFFF-FFFF00000000}"/>
  </bookViews>
  <sheets>
    <sheet name="Deckbl." sheetId="1" r:id="rId1"/>
    <sheet name="R1" sheetId="2" r:id="rId2"/>
    <sheet name="R2" sheetId="3" r:id="rId3"/>
    <sheet name="R3" sheetId="4" r:id="rId4"/>
    <sheet name="R4" sheetId="5" r:id="rId5"/>
    <sheet name="R5" sheetId="6" r:id="rId6"/>
    <sheet name="R6" sheetId="7" r:id="rId7"/>
    <sheet name="R7" sheetId="8" r:id="rId8"/>
    <sheet name="R8" sheetId="9" r:id="rId9"/>
    <sheet name="R9" sheetId="10" r:id="rId10"/>
    <sheet name="R10" sheetId="11" r:id="rId11"/>
    <sheet name="R11" sheetId="12" r:id="rId12"/>
    <sheet name="R12" sheetId="13" r:id="rId13"/>
    <sheet name="FG" sheetId="14" r:id="rId14"/>
    <sheet name="Faktoren PKW-E" sheetId="15" r:id="rId15"/>
  </sheets>
  <definedNames>
    <definedName name="_xlnm.Print_Area" localSheetId="0">Deckbl.!$A$1:$J$14</definedName>
    <definedName name="_xlnm.Print_Area" localSheetId="1">'R1'!$A$1:$M$74</definedName>
    <definedName name="_xlnm.Print_Area" localSheetId="10">'R10'!$A$1:$M$74</definedName>
    <definedName name="_xlnm.Print_Area" localSheetId="11">'R11'!$A$1:$M$74</definedName>
    <definedName name="_xlnm.Print_Area" localSheetId="12">'R12'!$A$1:$M$74</definedName>
    <definedName name="_xlnm.Print_Area" localSheetId="2">'R2'!$A$1:$M$74</definedName>
    <definedName name="_xlnm.Print_Area" localSheetId="3">'R3'!$A$1:$M$74</definedName>
    <definedName name="_xlnm.Print_Area" localSheetId="4">'R4'!$A$1:$M$74</definedName>
    <definedName name="_xlnm.Print_Area" localSheetId="5">'R5'!$A$1:$M$74</definedName>
    <definedName name="_xlnm.Print_Area" localSheetId="6">'R6'!$A$1:$M$74</definedName>
    <definedName name="_xlnm.Print_Area" localSheetId="7">'R7'!$A$1:$M$74</definedName>
    <definedName name="_xlnm.Print_Area" localSheetId="8">'R8'!$A$1:$M$74</definedName>
    <definedName name="_xlnm.Print_Area" localSheetId="9">'R9'!$A$1:$M$74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G81" i="14" l="1"/>
  <c r="F81" i="14"/>
  <c r="E81" i="14"/>
  <c r="D81" i="14"/>
  <c r="C81" i="14"/>
  <c r="B81" i="14"/>
  <c r="J81" i="14" s="1"/>
  <c r="J80" i="14"/>
  <c r="K80" i="14" s="1"/>
  <c r="J79" i="14"/>
  <c r="J78" i="14"/>
  <c r="K78" i="14" s="1"/>
  <c r="J77" i="14"/>
  <c r="L80" i="14" s="1"/>
  <c r="J76" i="14"/>
  <c r="K76" i="14" s="1"/>
  <c r="J75" i="14"/>
  <c r="J74" i="14"/>
  <c r="K74" i="14" s="1"/>
  <c r="J73" i="14"/>
  <c r="L76" i="14" s="1"/>
  <c r="J72" i="14"/>
  <c r="K72" i="14" s="1"/>
  <c r="J71" i="14"/>
  <c r="J70" i="14"/>
  <c r="K70" i="14" s="1"/>
  <c r="J69" i="14"/>
  <c r="L72" i="14" s="1"/>
  <c r="J68" i="14"/>
  <c r="K68" i="14" s="1"/>
  <c r="J67" i="14"/>
  <c r="J66" i="14"/>
  <c r="K66" i="14" s="1"/>
  <c r="J65" i="14"/>
  <c r="L68" i="14" s="1"/>
  <c r="J64" i="14"/>
  <c r="K64" i="14" s="1"/>
  <c r="J63" i="14"/>
  <c r="J62" i="14"/>
  <c r="K62" i="14" s="1"/>
  <c r="J61" i="14"/>
  <c r="L64" i="14" s="1"/>
  <c r="J60" i="14"/>
  <c r="K60" i="14" s="1"/>
  <c r="J59" i="14"/>
  <c r="J58" i="14"/>
  <c r="K58" i="14" s="1"/>
  <c r="J57" i="14"/>
  <c r="L60" i="14" s="1"/>
  <c r="J56" i="14"/>
  <c r="K56" i="14" s="1"/>
  <c r="J55" i="14"/>
  <c r="J54" i="14"/>
  <c r="K54" i="14" s="1"/>
  <c r="J53" i="14"/>
  <c r="L56" i="14" s="1"/>
  <c r="J52" i="14"/>
  <c r="K52" i="14" s="1"/>
  <c r="J51" i="14"/>
  <c r="J50" i="14"/>
  <c r="K50" i="14" s="1"/>
  <c r="J49" i="14"/>
  <c r="L52" i="14" s="1"/>
  <c r="J48" i="14"/>
  <c r="K48" i="14" s="1"/>
  <c r="J47" i="14"/>
  <c r="J46" i="14"/>
  <c r="K46" i="14" s="1"/>
  <c r="J45" i="14"/>
  <c r="L48" i="14" s="1"/>
  <c r="J44" i="14"/>
  <c r="K44" i="14" s="1"/>
  <c r="J43" i="14"/>
  <c r="J42" i="14"/>
  <c r="K42" i="14" s="1"/>
  <c r="J41" i="14"/>
  <c r="L44" i="14" s="1"/>
  <c r="J40" i="14"/>
  <c r="K40" i="14" s="1"/>
  <c r="J39" i="14"/>
  <c r="J38" i="14"/>
  <c r="K38" i="14" s="1"/>
  <c r="J37" i="14"/>
  <c r="L40" i="14" s="1"/>
  <c r="J36" i="14"/>
  <c r="K36" i="14" s="1"/>
  <c r="J35" i="14"/>
  <c r="J34" i="14"/>
  <c r="K34" i="14" s="1"/>
  <c r="J33" i="14"/>
  <c r="L36" i="14" s="1"/>
  <c r="J32" i="14"/>
  <c r="K32" i="14" s="1"/>
  <c r="J31" i="14"/>
  <c r="L32" i="14" s="1"/>
  <c r="K30" i="14"/>
  <c r="J30" i="14"/>
  <c r="J29" i="14"/>
  <c r="J28" i="14"/>
  <c r="K28" i="14" s="1"/>
  <c r="J27" i="14"/>
  <c r="J26" i="14"/>
  <c r="K26" i="14" s="1"/>
  <c r="J25" i="14"/>
  <c r="L28" i="14" s="1"/>
  <c r="J24" i="14"/>
  <c r="K24" i="14" s="1"/>
  <c r="J23" i="14"/>
  <c r="J22" i="14"/>
  <c r="K22" i="14" s="1"/>
  <c r="J21" i="14"/>
  <c r="L24" i="14" s="1"/>
  <c r="J20" i="14"/>
  <c r="K20" i="14" s="1"/>
  <c r="J19" i="14"/>
  <c r="J18" i="14"/>
  <c r="K18" i="14" s="1"/>
  <c r="J17" i="14"/>
  <c r="L20" i="14" s="1"/>
  <c r="J16" i="14"/>
  <c r="K16" i="14" s="1"/>
  <c r="J15" i="14"/>
  <c r="J14" i="14"/>
  <c r="K14" i="14" s="1"/>
  <c r="J13" i="14"/>
  <c r="L16" i="14" s="1"/>
  <c r="J9" i="14"/>
  <c r="J8" i="14"/>
  <c r="C7" i="14"/>
  <c r="K6" i="14"/>
  <c r="K5" i="14"/>
  <c r="B5" i="14"/>
  <c r="I82" i="13"/>
  <c r="H82" i="13"/>
  <c r="G82" i="13"/>
  <c r="F82" i="13"/>
  <c r="E82" i="13"/>
  <c r="D82" i="13"/>
  <c r="C82" i="13"/>
  <c r="B82" i="13"/>
  <c r="J82" i="13" s="1"/>
  <c r="M81" i="13"/>
  <c r="J81" i="13"/>
  <c r="K81" i="13" s="1"/>
  <c r="J80" i="13"/>
  <c r="J79" i="13"/>
  <c r="K79" i="13" s="1"/>
  <c r="J78" i="13"/>
  <c r="L81" i="13" s="1"/>
  <c r="M77" i="13"/>
  <c r="J77" i="13"/>
  <c r="K77" i="13" s="1"/>
  <c r="J76" i="13"/>
  <c r="J75" i="13"/>
  <c r="K75" i="13" s="1"/>
  <c r="J74" i="13"/>
  <c r="L77" i="13" s="1"/>
  <c r="M73" i="13"/>
  <c r="J73" i="13"/>
  <c r="K73" i="13" s="1"/>
  <c r="J72" i="13"/>
  <c r="J71" i="13"/>
  <c r="K71" i="13" s="1"/>
  <c r="J70" i="13"/>
  <c r="L73" i="13" s="1"/>
  <c r="M69" i="13"/>
  <c r="J69" i="13"/>
  <c r="K69" i="13" s="1"/>
  <c r="J68" i="13"/>
  <c r="J67" i="13"/>
  <c r="K67" i="13" s="1"/>
  <c r="J66" i="13"/>
  <c r="L69" i="13" s="1"/>
  <c r="M65" i="13"/>
  <c r="J65" i="13"/>
  <c r="K65" i="13" s="1"/>
  <c r="J64" i="13"/>
  <c r="J63" i="13"/>
  <c r="K63" i="13" s="1"/>
  <c r="J62" i="13"/>
  <c r="L65" i="13" s="1"/>
  <c r="M61" i="13"/>
  <c r="J61" i="13"/>
  <c r="K61" i="13" s="1"/>
  <c r="J60" i="13"/>
  <c r="J59" i="13"/>
  <c r="K59" i="13" s="1"/>
  <c r="J58" i="13"/>
  <c r="L61" i="13" s="1"/>
  <c r="M57" i="13"/>
  <c r="L57" i="13"/>
  <c r="K57" i="13"/>
  <c r="J57" i="13"/>
  <c r="J56" i="13"/>
  <c r="J55" i="13"/>
  <c r="K55" i="13" s="1"/>
  <c r="J54" i="13"/>
  <c r="M53" i="13"/>
  <c r="J53" i="13"/>
  <c r="K53" i="13" s="1"/>
  <c r="J52" i="13"/>
  <c r="J51" i="13"/>
  <c r="K51" i="13" s="1"/>
  <c r="J50" i="13"/>
  <c r="L53" i="13" s="1"/>
  <c r="M49" i="13"/>
  <c r="J49" i="13"/>
  <c r="K49" i="13" s="1"/>
  <c r="J48" i="13"/>
  <c r="J47" i="13"/>
  <c r="K47" i="13" s="1"/>
  <c r="J46" i="13"/>
  <c r="L49" i="13" s="1"/>
  <c r="M45" i="13"/>
  <c r="J45" i="13"/>
  <c r="K45" i="13" s="1"/>
  <c r="J44" i="13"/>
  <c r="J43" i="13"/>
  <c r="K43" i="13" s="1"/>
  <c r="J42" i="13"/>
  <c r="L45" i="13" s="1"/>
  <c r="M41" i="13"/>
  <c r="J41" i="13"/>
  <c r="K41" i="13" s="1"/>
  <c r="J40" i="13"/>
  <c r="J39" i="13"/>
  <c r="K39" i="13" s="1"/>
  <c r="J38" i="13"/>
  <c r="L41" i="13" s="1"/>
  <c r="M37" i="13"/>
  <c r="J37" i="13"/>
  <c r="K37" i="13" s="1"/>
  <c r="J36" i="13"/>
  <c r="J35" i="13"/>
  <c r="K35" i="13" s="1"/>
  <c r="J34" i="13"/>
  <c r="L37" i="13" s="1"/>
  <c r="M33" i="13"/>
  <c r="J33" i="13"/>
  <c r="K33" i="13" s="1"/>
  <c r="J32" i="13"/>
  <c r="J31" i="13"/>
  <c r="K31" i="13" s="1"/>
  <c r="J30" i="13"/>
  <c r="L33" i="13" s="1"/>
  <c r="M29" i="13"/>
  <c r="J29" i="13"/>
  <c r="K29" i="13" s="1"/>
  <c r="J28" i="13"/>
  <c r="J27" i="13"/>
  <c r="K27" i="13" s="1"/>
  <c r="J26" i="13"/>
  <c r="L29" i="13" s="1"/>
  <c r="M25" i="13"/>
  <c r="J25" i="13"/>
  <c r="K25" i="13" s="1"/>
  <c r="J24" i="13"/>
  <c r="J23" i="13"/>
  <c r="K23" i="13" s="1"/>
  <c r="J22" i="13"/>
  <c r="L25" i="13" s="1"/>
  <c r="M21" i="13"/>
  <c r="J21" i="13"/>
  <c r="K21" i="13" s="1"/>
  <c r="J20" i="13"/>
  <c r="J19" i="13"/>
  <c r="K19" i="13" s="1"/>
  <c r="J18" i="13"/>
  <c r="L21" i="13" s="1"/>
  <c r="M17" i="13"/>
  <c r="J17" i="13"/>
  <c r="K17" i="13" s="1"/>
  <c r="J16" i="13"/>
  <c r="J15" i="13"/>
  <c r="K15" i="13" s="1"/>
  <c r="J14" i="13"/>
  <c r="L17" i="13" s="1"/>
  <c r="J9" i="13"/>
  <c r="C7" i="13"/>
  <c r="K6" i="13"/>
  <c r="A6" i="13"/>
  <c r="I82" i="12"/>
  <c r="H82" i="12"/>
  <c r="G82" i="12"/>
  <c r="F82" i="12"/>
  <c r="E82" i="12"/>
  <c r="D82" i="12"/>
  <c r="J82" i="12" s="1"/>
  <c r="C82" i="12"/>
  <c r="B82" i="12"/>
  <c r="M81" i="12"/>
  <c r="J81" i="12"/>
  <c r="K81" i="12" s="1"/>
  <c r="J80" i="12"/>
  <c r="J79" i="12"/>
  <c r="K79" i="12" s="1"/>
  <c r="J78" i="12"/>
  <c r="L81" i="12" s="1"/>
  <c r="M77" i="12"/>
  <c r="J77" i="12"/>
  <c r="K77" i="12" s="1"/>
  <c r="J76" i="12"/>
  <c r="J75" i="12"/>
  <c r="K75" i="12" s="1"/>
  <c r="J74" i="12"/>
  <c r="L77" i="12" s="1"/>
  <c r="M73" i="12"/>
  <c r="J73" i="12"/>
  <c r="K73" i="12" s="1"/>
  <c r="J72" i="12"/>
  <c r="J71" i="12"/>
  <c r="K71" i="12" s="1"/>
  <c r="J70" i="12"/>
  <c r="L73" i="12" s="1"/>
  <c r="M69" i="12"/>
  <c r="J69" i="12"/>
  <c r="K69" i="12" s="1"/>
  <c r="J68" i="12"/>
  <c r="J67" i="12"/>
  <c r="K67" i="12" s="1"/>
  <c r="J66" i="12"/>
  <c r="L69" i="12" s="1"/>
  <c r="M65" i="12"/>
  <c r="J65" i="12"/>
  <c r="K65" i="12" s="1"/>
  <c r="J64" i="12"/>
  <c r="J63" i="12"/>
  <c r="K63" i="12" s="1"/>
  <c r="J62" i="12"/>
  <c r="L65" i="12" s="1"/>
  <c r="M61" i="12"/>
  <c r="J61" i="12"/>
  <c r="K61" i="12" s="1"/>
  <c r="J60" i="12"/>
  <c r="J59" i="12"/>
  <c r="K59" i="12" s="1"/>
  <c r="J58" i="12"/>
  <c r="L61" i="12" s="1"/>
  <c r="M57" i="12"/>
  <c r="J57" i="12"/>
  <c r="K57" i="12" s="1"/>
  <c r="J56" i="12"/>
  <c r="J55" i="12"/>
  <c r="K55" i="12" s="1"/>
  <c r="J54" i="12"/>
  <c r="L57" i="12" s="1"/>
  <c r="M53" i="12"/>
  <c r="J53" i="12"/>
  <c r="K53" i="12" s="1"/>
  <c r="J52" i="12"/>
  <c r="J51" i="12"/>
  <c r="K51" i="12" s="1"/>
  <c r="J50" i="12"/>
  <c r="L53" i="12" s="1"/>
  <c r="M49" i="12"/>
  <c r="J49" i="12"/>
  <c r="K49" i="12" s="1"/>
  <c r="J48" i="12"/>
  <c r="J47" i="12"/>
  <c r="K47" i="12" s="1"/>
  <c r="J46" i="12"/>
  <c r="L49" i="12" s="1"/>
  <c r="M45" i="12"/>
  <c r="J45" i="12"/>
  <c r="K45" i="12" s="1"/>
  <c r="J44" i="12"/>
  <c r="J43" i="12"/>
  <c r="K43" i="12" s="1"/>
  <c r="J42" i="12"/>
  <c r="L45" i="12" s="1"/>
  <c r="M41" i="12"/>
  <c r="J41" i="12"/>
  <c r="K41" i="12" s="1"/>
  <c r="J40" i="12"/>
  <c r="J39" i="12"/>
  <c r="K39" i="12" s="1"/>
  <c r="J38" i="12"/>
  <c r="L41" i="12" s="1"/>
  <c r="M37" i="12"/>
  <c r="J37" i="12"/>
  <c r="K37" i="12" s="1"/>
  <c r="J36" i="12"/>
  <c r="L37" i="12" s="1"/>
  <c r="K35" i="12"/>
  <c r="J35" i="12"/>
  <c r="J34" i="12"/>
  <c r="M33" i="12"/>
  <c r="J33" i="12"/>
  <c r="K33" i="12" s="1"/>
  <c r="J32" i="12"/>
  <c r="J31" i="12"/>
  <c r="K31" i="12" s="1"/>
  <c r="J30" i="12"/>
  <c r="L33" i="12" s="1"/>
  <c r="M29" i="12"/>
  <c r="J29" i="12"/>
  <c r="K29" i="12" s="1"/>
  <c r="J28" i="12"/>
  <c r="J27" i="12"/>
  <c r="K27" i="12" s="1"/>
  <c r="J26" i="12"/>
  <c r="L29" i="12" s="1"/>
  <c r="M25" i="12"/>
  <c r="J25" i="12"/>
  <c r="K25" i="12" s="1"/>
  <c r="J24" i="12"/>
  <c r="J23" i="12"/>
  <c r="K23" i="12" s="1"/>
  <c r="J22" i="12"/>
  <c r="L25" i="12" s="1"/>
  <c r="M21" i="12"/>
  <c r="J21" i="12"/>
  <c r="K21" i="12" s="1"/>
  <c r="J20" i="12"/>
  <c r="J19" i="12"/>
  <c r="K19" i="12" s="1"/>
  <c r="J18" i="12"/>
  <c r="L21" i="12" s="1"/>
  <c r="M17" i="12"/>
  <c r="J17" i="12"/>
  <c r="K17" i="12" s="1"/>
  <c r="J16" i="12"/>
  <c r="J15" i="12"/>
  <c r="K15" i="12" s="1"/>
  <c r="J14" i="12"/>
  <c r="L17" i="12" s="1"/>
  <c r="J9" i="12"/>
  <c r="C7" i="12"/>
  <c r="K6" i="12"/>
  <c r="A6" i="12"/>
  <c r="I82" i="11"/>
  <c r="H82" i="11"/>
  <c r="G82" i="11"/>
  <c r="F82" i="11"/>
  <c r="E82" i="11"/>
  <c r="D82" i="11"/>
  <c r="C82" i="11"/>
  <c r="B82" i="11"/>
  <c r="J82" i="11" s="1"/>
  <c r="M81" i="11"/>
  <c r="J81" i="11"/>
  <c r="K81" i="11" s="1"/>
  <c r="J80" i="11"/>
  <c r="J79" i="11"/>
  <c r="K79" i="11" s="1"/>
  <c r="J78" i="11"/>
  <c r="L81" i="11" s="1"/>
  <c r="M77" i="11"/>
  <c r="J77" i="11"/>
  <c r="K77" i="11" s="1"/>
  <c r="J76" i="11"/>
  <c r="J75" i="11"/>
  <c r="K75" i="11" s="1"/>
  <c r="J74" i="11"/>
  <c r="L77" i="11" s="1"/>
  <c r="M73" i="11"/>
  <c r="J73" i="11"/>
  <c r="K73" i="11" s="1"/>
  <c r="J72" i="11"/>
  <c r="J71" i="11"/>
  <c r="K71" i="11" s="1"/>
  <c r="J70" i="11"/>
  <c r="L73" i="11" s="1"/>
  <c r="M69" i="11"/>
  <c r="J69" i="11"/>
  <c r="K69" i="11" s="1"/>
  <c r="J68" i="11"/>
  <c r="J67" i="11"/>
  <c r="K67" i="11" s="1"/>
  <c r="J66" i="11"/>
  <c r="L69" i="11" s="1"/>
  <c r="M65" i="11"/>
  <c r="J65" i="11"/>
  <c r="K65" i="11" s="1"/>
  <c r="J64" i="11"/>
  <c r="J63" i="11"/>
  <c r="K63" i="11" s="1"/>
  <c r="J62" i="11"/>
  <c r="L65" i="11" s="1"/>
  <c r="M61" i="11"/>
  <c r="J61" i="11"/>
  <c r="K61" i="11" s="1"/>
  <c r="J60" i="11"/>
  <c r="J59" i="11"/>
  <c r="K59" i="11" s="1"/>
  <c r="J58" i="11"/>
  <c r="L61" i="11" s="1"/>
  <c r="M57" i="11"/>
  <c r="J57" i="11"/>
  <c r="K57" i="11" s="1"/>
  <c r="J56" i="11"/>
  <c r="J55" i="11"/>
  <c r="K55" i="11" s="1"/>
  <c r="J54" i="11"/>
  <c r="L57" i="11" s="1"/>
  <c r="M53" i="11"/>
  <c r="J53" i="11"/>
  <c r="K53" i="11" s="1"/>
  <c r="J52" i="11"/>
  <c r="J51" i="11"/>
  <c r="K51" i="11" s="1"/>
  <c r="J50" i="11"/>
  <c r="L53" i="11" s="1"/>
  <c r="M49" i="11"/>
  <c r="J49" i="11"/>
  <c r="K49" i="11" s="1"/>
  <c r="J48" i="11"/>
  <c r="J47" i="11"/>
  <c r="K47" i="11" s="1"/>
  <c r="J46" i="11"/>
  <c r="L49" i="11" s="1"/>
  <c r="M45" i="11"/>
  <c r="J45" i="11"/>
  <c r="K45" i="11" s="1"/>
  <c r="J44" i="11"/>
  <c r="J43" i="11"/>
  <c r="K43" i="11" s="1"/>
  <c r="J42" i="11"/>
  <c r="L45" i="11" s="1"/>
  <c r="M41" i="11"/>
  <c r="J41" i="11"/>
  <c r="K41" i="11" s="1"/>
  <c r="J40" i="11"/>
  <c r="J39" i="11"/>
  <c r="K39" i="11" s="1"/>
  <c r="J38" i="11"/>
  <c r="L41" i="11" s="1"/>
  <c r="M37" i="11"/>
  <c r="J37" i="11"/>
  <c r="K37" i="11" s="1"/>
  <c r="J36" i="11"/>
  <c r="J35" i="11"/>
  <c r="K35" i="11" s="1"/>
  <c r="J34" i="11"/>
  <c r="L37" i="11" s="1"/>
  <c r="M33" i="11"/>
  <c r="J33" i="11"/>
  <c r="K33" i="11" s="1"/>
  <c r="J32" i="11"/>
  <c r="J31" i="11"/>
  <c r="K31" i="11" s="1"/>
  <c r="J30" i="11"/>
  <c r="L33" i="11" s="1"/>
  <c r="M29" i="11"/>
  <c r="J29" i="11"/>
  <c r="K29" i="11" s="1"/>
  <c r="J28" i="11"/>
  <c r="J27" i="11"/>
  <c r="K27" i="11" s="1"/>
  <c r="J26" i="11"/>
  <c r="L29" i="11" s="1"/>
  <c r="M25" i="11"/>
  <c r="J25" i="11"/>
  <c r="K25" i="11" s="1"/>
  <c r="J24" i="11"/>
  <c r="J23" i="11"/>
  <c r="K23" i="11" s="1"/>
  <c r="J22" i="11"/>
  <c r="L25" i="11" s="1"/>
  <c r="M21" i="11"/>
  <c r="J21" i="11"/>
  <c r="K21" i="11" s="1"/>
  <c r="J20" i="11"/>
  <c r="J19" i="11"/>
  <c r="K19" i="11" s="1"/>
  <c r="J18" i="11"/>
  <c r="L21" i="11" s="1"/>
  <c r="M17" i="11"/>
  <c r="J17" i="11"/>
  <c r="K17" i="11" s="1"/>
  <c r="J16" i="11"/>
  <c r="J15" i="11"/>
  <c r="K15" i="11" s="1"/>
  <c r="J14" i="11"/>
  <c r="L17" i="11" s="1"/>
  <c r="J9" i="11"/>
  <c r="C7" i="11"/>
  <c r="K6" i="11"/>
  <c r="A6" i="11"/>
  <c r="I82" i="10"/>
  <c r="H82" i="10"/>
  <c r="G82" i="10"/>
  <c r="F82" i="10"/>
  <c r="E82" i="10"/>
  <c r="D82" i="10"/>
  <c r="C82" i="10"/>
  <c r="B82" i="10"/>
  <c r="J82" i="10" s="1"/>
  <c r="M81" i="10"/>
  <c r="J81" i="10"/>
  <c r="K81" i="10" s="1"/>
  <c r="J80" i="10"/>
  <c r="J79" i="10"/>
  <c r="K79" i="10" s="1"/>
  <c r="J78" i="10"/>
  <c r="L81" i="10" s="1"/>
  <c r="M77" i="10"/>
  <c r="J77" i="10"/>
  <c r="K77" i="10" s="1"/>
  <c r="J76" i="10"/>
  <c r="J75" i="10"/>
  <c r="K75" i="10" s="1"/>
  <c r="J74" i="10"/>
  <c r="L77" i="10" s="1"/>
  <c r="M73" i="10"/>
  <c r="J73" i="10"/>
  <c r="K73" i="10" s="1"/>
  <c r="J72" i="10"/>
  <c r="J71" i="10"/>
  <c r="K71" i="10" s="1"/>
  <c r="J70" i="10"/>
  <c r="L73" i="10" s="1"/>
  <c r="M69" i="10"/>
  <c r="J69" i="10"/>
  <c r="K69" i="10" s="1"/>
  <c r="J68" i="10"/>
  <c r="J67" i="10"/>
  <c r="K67" i="10" s="1"/>
  <c r="J66" i="10"/>
  <c r="L69" i="10" s="1"/>
  <c r="M65" i="10"/>
  <c r="J65" i="10"/>
  <c r="K65" i="10" s="1"/>
  <c r="J64" i="10"/>
  <c r="J63" i="10"/>
  <c r="K63" i="10" s="1"/>
  <c r="J62" i="10"/>
  <c r="L65" i="10" s="1"/>
  <c r="M61" i="10"/>
  <c r="J61" i="10"/>
  <c r="K61" i="10" s="1"/>
  <c r="J60" i="10"/>
  <c r="J59" i="10"/>
  <c r="K59" i="10" s="1"/>
  <c r="J58" i="10"/>
  <c r="L61" i="10" s="1"/>
  <c r="M57" i="10"/>
  <c r="J57" i="10"/>
  <c r="K57" i="10" s="1"/>
  <c r="J56" i="10"/>
  <c r="J55" i="10"/>
  <c r="K55" i="10" s="1"/>
  <c r="J54" i="10"/>
  <c r="L57" i="10" s="1"/>
  <c r="M53" i="10"/>
  <c r="J53" i="10"/>
  <c r="K53" i="10" s="1"/>
  <c r="J52" i="10"/>
  <c r="J51" i="10"/>
  <c r="K51" i="10" s="1"/>
  <c r="J50" i="10"/>
  <c r="L53" i="10" s="1"/>
  <c r="M49" i="10"/>
  <c r="J49" i="10"/>
  <c r="K49" i="10" s="1"/>
  <c r="J48" i="10"/>
  <c r="J47" i="10"/>
  <c r="K47" i="10" s="1"/>
  <c r="J46" i="10"/>
  <c r="L49" i="10" s="1"/>
  <c r="M45" i="10"/>
  <c r="J45" i="10"/>
  <c r="K45" i="10" s="1"/>
  <c r="J44" i="10"/>
  <c r="J43" i="10"/>
  <c r="K43" i="10" s="1"/>
  <c r="J42" i="10"/>
  <c r="L45" i="10" s="1"/>
  <c r="M41" i="10"/>
  <c r="J41" i="10"/>
  <c r="J40" i="10"/>
  <c r="J39" i="10"/>
  <c r="K39" i="10" s="1"/>
  <c r="J38" i="10"/>
  <c r="M37" i="10"/>
  <c r="J37" i="10"/>
  <c r="K37" i="10" s="1"/>
  <c r="J36" i="10"/>
  <c r="J35" i="10"/>
  <c r="K35" i="10" s="1"/>
  <c r="J34" i="10"/>
  <c r="L37" i="10" s="1"/>
  <c r="M33" i="10"/>
  <c r="J33" i="10"/>
  <c r="K33" i="10" s="1"/>
  <c r="J32" i="10"/>
  <c r="J31" i="10"/>
  <c r="K31" i="10" s="1"/>
  <c r="J30" i="10"/>
  <c r="L33" i="10" s="1"/>
  <c r="M29" i="10"/>
  <c r="J29" i="10"/>
  <c r="K29" i="10" s="1"/>
  <c r="J28" i="10"/>
  <c r="J27" i="10"/>
  <c r="K27" i="10" s="1"/>
  <c r="J26" i="10"/>
  <c r="L29" i="10" s="1"/>
  <c r="M25" i="10"/>
  <c r="J25" i="10"/>
  <c r="K25" i="10" s="1"/>
  <c r="J24" i="10"/>
  <c r="J23" i="10"/>
  <c r="K23" i="10" s="1"/>
  <c r="J22" i="10"/>
  <c r="L25" i="10" s="1"/>
  <c r="M21" i="10"/>
  <c r="J21" i="10"/>
  <c r="K21" i="10" s="1"/>
  <c r="J20" i="10"/>
  <c r="J19" i="10"/>
  <c r="K19" i="10" s="1"/>
  <c r="J18" i="10"/>
  <c r="L21" i="10" s="1"/>
  <c r="M17" i="10"/>
  <c r="J17" i="10"/>
  <c r="K17" i="10" s="1"/>
  <c r="J16" i="10"/>
  <c r="J15" i="10"/>
  <c r="K15" i="10" s="1"/>
  <c r="J14" i="10"/>
  <c r="L17" i="10" s="1"/>
  <c r="J9" i="10"/>
  <c r="C7" i="10"/>
  <c r="K6" i="10"/>
  <c r="A6" i="10"/>
  <c r="I82" i="9"/>
  <c r="H82" i="9"/>
  <c r="G82" i="9"/>
  <c r="F82" i="9"/>
  <c r="E82" i="9"/>
  <c r="D82" i="9"/>
  <c r="C82" i="9"/>
  <c r="B82" i="9"/>
  <c r="J82" i="9" s="1"/>
  <c r="M81" i="9"/>
  <c r="J81" i="9"/>
  <c r="K81" i="9" s="1"/>
  <c r="J80" i="9"/>
  <c r="J79" i="9"/>
  <c r="K79" i="9" s="1"/>
  <c r="J78" i="9"/>
  <c r="L81" i="9" s="1"/>
  <c r="M77" i="9"/>
  <c r="J77" i="9"/>
  <c r="K77" i="9" s="1"/>
  <c r="J76" i="9"/>
  <c r="J75" i="9"/>
  <c r="K75" i="9" s="1"/>
  <c r="J74" i="9"/>
  <c r="L77" i="9" s="1"/>
  <c r="M73" i="9"/>
  <c r="J73" i="9"/>
  <c r="K73" i="9" s="1"/>
  <c r="J72" i="9"/>
  <c r="J71" i="9"/>
  <c r="K71" i="9" s="1"/>
  <c r="J70" i="9"/>
  <c r="L73" i="9" s="1"/>
  <c r="M69" i="9"/>
  <c r="J69" i="9"/>
  <c r="K69" i="9" s="1"/>
  <c r="J68" i="9"/>
  <c r="J67" i="9"/>
  <c r="J66" i="9"/>
  <c r="M65" i="9"/>
  <c r="J65" i="9"/>
  <c r="K65" i="9" s="1"/>
  <c r="J64" i="9"/>
  <c r="J63" i="9"/>
  <c r="K63" i="9" s="1"/>
  <c r="J62" i="9"/>
  <c r="L65" i="9" s="1"/>
  <c r="M61" i="9"/>
  <c r="J61" i="9"/>
  <c r="K61" i="9" s="1"/>
  <c r="J60" i="9"/>
  <c r="J59" i="9"/>
  <c r="K59" i="9" s="1"/>
  <c r="J58" i="9"/>
  <c r="L61" i="9" s="1"/>
  <c r="M57" i="9"/>
  <c r="J57" i="9"/>
  <c r="K57" i="9" s="1"/>
  <c r="J56" i="9"/>
  <c r="J55" i="9"/>
  <c r="K55" i="9" s="1"/>
  <c r="J54" i="9"/>
  <c r="L57" i="9" s="1"/>
  <c r="M53" i="9"/>
  <c r="J53" i="9"/>
  <c r="K53" i="9" s="1"/>
  <c r="J52" i="9"/>
  <c r="J51" i="9"/>
  <c r="K51" i="9" s="1"/>
  <c r="J50" i="9"/>
  <c r="L53" i="9" s="1"/>
  <c r="M49" i="9"/>
  <c r="J49" i="9"/>
  <c r="K49" i="9" s="1"/>
  <c r="J48" i="9"/>
  <c r="J47" i="9"/>
  <c r="K47" i="9" s="1"/>
  <c r="J46" i="9"/>
  <c r="L49" i="9" s="1"/>
  <c r="M45" i="9"/>
  <c r="J45" i="9"/>
  <c r="K45" i="9" s="1"/>
  <c r="J44" i="9"/>
  <c r="J43" i="9"/>
  <c r="K43" i="9" s="1"/>
  <c r="J42" i="9"/>
  <c r="L45" i="9" s="1"/>
  <c r="M41" i="9"/>
  <c r="J41" i="9"/>
  <c r="K41" i="9" s="1"/>
  <c r="J40" i="9"/>
  <c r="J39" i="9"/>
  <c r="K39" i="9" s="1"/>
  <c r="J38" i="9"/>
  <c r="L41" i="9" s="1"/>
  <c r="M37" i="9"/>
  <c r="J37" i="9"/>
  <c r="K37" i="9" s="1"/>
  <c r="J36" i="9"/>
  <c r="J35" i="9"/>
  <c r="K35" i="9" s="1"/>
  <c r="J34" i="9"/>
  <c r="L37" i="9" s="1"/>
  <c r="M33" i="9"/>
  <c r="J33" i="9"/>
  <c r="K33" i="9" s="1"/>
  <c r="J32" i="9"/>
  <c r="J31" i="9"/>
  <c r="K31" i="9" s="1"/>
  <c r="J30" i="9"/>
  <c r="L33" i="9" s="1"/>
  <c r="M29" i="9"/>
  <c r="J29" i="9"/>
  <c r="K29" i="9" s="1"/>
  <c r="J28" i="9"/>
  <c r="J27" i="9"/>
  <c r="K27" i="9" s="1"/>
  <c r="J26" i="9"/>
  <c r="L29" i="9" s="1"/>
  <c r="M25" i="9"/>
  <c r="J25" i="9"/>
  <c r="K25" i="9" s="1"/>
  <c r="J24" i="9"/>
  <c r="J23" i="9"/>
  <c r="K23" i="9" s="1"/>
  <c r="J22" i="9"/>
  <c r="L25" i="9" s="1"/>
  <c r="M21" i="9"/>
  <c r="J21" i="9"/>
  <c r="K21" i="9" s="1"/>
  <c r="J20" i="9"/>
  <c r="J19" i="9"/>
  <c r="J18" i="9"/>
  <c r="M17" i="9"/>
  <c r="J17" i="9"/>
  <c r="K17" i="9" s="1"/>
  <c r="J16" i="9"/>
  <c r="J15" i="9"/>
  <c r="K15" i="9" s="1"/>
  <c r="J14" i="9"/>
  <c r="L17" i="9" s="1"/>
  <c r="J9" i="9"/>
  <c r="C7" i="9"/>
  <c r="K6" i="9"/>
  <c r="A6" i="9"/>
  <c r="I82" i="8"/>
  <c r="H82" i="8"/>
  <c r="G82" i="8"/>
  <c r="F82" i="8"/>
  <c r="E82" i="8"/>
  <c r="D82" i="8"/>
  <c r="C82" i="8"/>
  <c r="B82" i="8"/>
  <c r="J82" i="8" s="1"/>
  <c r="M81" i="8"/>
  <c r="J81" i="8"/>
  <c r="K81" i="8" s="1"/>
  <c r="J80" i="8"/>
  <c r="J79" i="8"/>
  <c r="K79" i="8" s="1"/>
  <c r="J78" i="8"/>
  <c r="L81" i="8" s="1"/>
  <c r="M77" i="8"/>
  <c r="J77" i="8"/>
  <c r="K77" i="8" s="1"/>
  <c r="J76" i="8"/>
  <c r="J75" i="8"/>
  <c r="K75" i="8" s="1"/>
  <c r="J74" i="8"/>
  <c r="L77" i="8" s="1"/>
  <c r="M73" i="8"/>
  <c r="J73" i="8"/>
  <c r="K73" i="8" s="1"/>
  <c r="J72" i="8"/>
  <c r="J71" i="8"/>
  <c r="K71" i="8" s="1"/>
  <c r="J70" i="8"/>
  <c r="L73" i="8" s="1"/>
  <c r="M69" i="8"/>
  <c r="J69" i="8"/>
  <c r="K69" i="8" s="1"/>
  <c r="J68" i="8"/>
  <c r="J67" i="8"/>
  <c r="K67" i="8" s="1"/>
  <c r="J66" i="8"/>
  <c r="L69" i="8" s="1"/>
  <c r="M65" i="8"/>
  <c r="J65" i="8"/>
  <c r="K65" i="8" s="1"/>
  <c r="J64" i="8"/>
  <c r="J63" i="8"/>
  <c r="K63" i="8" s="1"/>
  <c r="J62" i="8"/>
  <c r="L65" i="8" s="1"/>
  <c r="M61" i="8"/>
  <c r="J61" i="8"/>
  <c r="K61" i="8" s="1"/>
  <c r="J60" i="8"/>
  <c r="J59" i="8"/>
  <c r="K59" i="8" s="1"/>
  <c r="J58" i="8"/>
  <c r="L61" i="8" s="1"/>
  <c r="M57" i="8"/>
  <c r="J57" i="8"/>
  <c r="K57" i="8" s="1"/>
  <c r="J56" i="8"/>
  <c r="J55" i="8"/>
  <c r="K55" i="8" s="1"/>
  <c r="J54" i="8"/>
  <c r="L57" i="8" s="1"/>
  <c r="M53" i="8"/>
  <c r="J53" i="8"/>
  <c r="K53" i="8" s="1"/>
  <c r="J52" i="8"/>
  <c r="J51" i="8"/>
  <c r="K51" i="8" s="1"/>
  <c r="J50" i="8"/>
  <c r="L53" i="8" s="1"/>
  <c r="M49" i="8"/>
  <c r="J49" i="8"/>
  <c r="K49" i="8" s="1"/>
  <c r="J48" i="8"/>
  <c r="J47" i="8"/>
  <c r="K47" i="8" s="1"/>
  <c r="J46" i="8"/>
  <c r="L49" i="8" s="1"/>
  <c r="M45" i="8"/>
  <c r="L45" i="8"/>
  <c r="J45" i="8"/>
  <c r="K45" i="8" s="1"/>
  <c r="J44" i="8"/>
  <c r="J43" i="8"/>
  <c r="K43" i="8" s="1"/>
  <c r="J42" i="8"/>
  <c r="M41" i="8"/>
  <c r="J41" i="8"/>
  <c r="K41" i="8" s="1"/>
  <c r="J40" i="8"/>
  <c r="J39" i="8"/>
  <c r="K39" i="8" s="1"/>
  <c r="J38" i="8"/>
  <c r="L41" i="8" s="1"/>
  <c r="M37" i="8"/>
  <c r="J37" i="8"/>
  <c r="K37" i="8" s="1"/>
  <c r="J36" i="8"/>
  <c r="J35" i="8"/>
  <c r="K35" i="8" s="1"/>
  <c r="J34" i="8"/>
  <c r="L37" i="8" s="1"/>
  <c r="M33" i="8"/>
  <c r="J33" i="8"/>
  <c r="K33" i="8" s="1"/>
  <c r="J32" i="8"/>
  <c r="J31" i="8"/>
  <c r="K31" i="8" s="1"/>
  <c r="J30" i="8"/>
  <c r="L33" i="8" s="1"/>
  <c r="M29" i="8"/>
  <c r="J29" i="8"/>
  <c r="K29" i="8" s="1"/>
  <c r="J28" i="8"/>
  <c r="J27" i="8"/>
  <c r="K27" i="8" s="1"/>
  <c r="J26" i="8"/>
  <c r="L29" i="8" s="1"/>
  <c r="M25" i="8"/>
  <c r="J25" i="8"/>
  <c r="K25" i="8" s="1"/>
  <c r="J24" i="8"/>
  <c r="J23" i="8"/>
  <c r="K23" i="8" s="1"/>
  <c r="J22" i="8"/>
  <c r="L25" i="8" s="1"/>
  <c r="M21" i="8"/>
  <c r="J21" i="8"/>
  <c r="K21" i="8" s="1"/>
  <c r="J20" i="8"/>
  <c r="J19" i="8"/>
  <c r="K19" i="8" s="1"/>
  <c r="J18" i="8"/>
  <c r="L21" i="8" s="1"/>
  <c r="M17" i="8"/>
  <c r="J17" i="8"/>
  <c r="K17" i="8" s="1"/>
  <c r="J16" i="8"/>
  <c r="J15" i="8"/>
  <c r="K15" i="8" s="1"/>
  <c r="J14" i="8"/>
  <c r="L17" i="8" s="1"/>
  <c r="J9" i="8"/>
  <c r="C7" i="8"/>
  <c r="K6" i="8"/>
  <c r="A6" i="8"/>
  <c r="I82" i="7"/>
  <c r="H82" i="7"/>
  <c r="G82" i="7"/>
  <c r="F82" i="7"/>
  <c r="E82" i="7"/>
  <c r="D82" i="7"/>
  <c r="C82" i="7"/>
  <c r="B82" i="7"/>
  <c r="J82" i="7" s="1"/>
  <c r="M81" i="7"/>
  <c r="J81" i="7"/>
  <c r="K81" i="7" s="1"/>
  <c r="J80" i="7"/>
  <c r="J79" i="7"/>
  <c r="K79" i="7" s="1"/>
  <c r="J78" i="7"/>
  <c r="L81" i="7" s="1"/>
  <c r="M77" i="7"/>
  <c r="J77" i="7"/>
  <c r="K77" i="7" s="1"/>
  <c r="J76" i="7"/>
  <c r="J75" i="7"/>
  <c r="K75" i="7" s="1"/>
  <c r="J74" i="7"/>
  <c r="L77" i="7" s="1"/>
  <c r="M73" i="7"/>
  <c r="J73" i="7"/>
  <c r="K73" i="7" s="1"/>
  <c r="J72" i="7"/>
  <c r="L73" i="7" s="1"/>
  <c r="J71" i="7"/>
  <c r="K71" i="7" s="1"/>
  <c r="J70" i="7"/>
  <c r="M69" i="7"/>
  <c r="J69" i="7"/>
  <c r="K69" i="7" s="1"/>
  <c r="J68" i="7"/>
  <c r="J67" i="7"/>
  <c r="K67" i="7" s="1"/>
  <c r="J66" i="7"/>
  <c r="L69" i="7" s="1"/>
  <c r="M65" i="7"/>
  <c r="J65" i="7"/>
  <c r="K65" i="7" s="1"/>
  <c r="J64" i="7"/>
  <c r="J63" i="7"/>
  <c r="K63" i="7" s="1"/>
  <c r="J62" i="7"/>
  <c r="L65" i="7" s="1"/>
  <c r="M61" i="7"/>
  <c r="J61" i="7"/>
  <c r="K61" i="7" s="1"/>
  <c r="J60" i="7"/>
  <c r="J59" i="7"/>
  <c r="K59" i="7" s="1"/>
  <c r="J58" i="7"/>
  <c r="L61" i="7" s="1"/>
  <c r="M57" i="7"/>
  <c r="J57" i="7"/>
  <c r="K57" i="7" s="1"/>
  <c r="J56" i="7"/>
  <c r="J55" i="7"/>
  <c r="K55" i="7" s="1"/>
  <c r="J54" i="7"/>
  <c r="L57" i="7" s="1"/>
  <c r="M53" i="7"/>
  <c r="J53" i="7"/>
  <c r="K53" i="7" s="1"/>
  <c r="J52" i="7"/>
  <c r="J51" i="7"/>
  <c r="K51" i="7" s="1"/>
  <c r="J50" i="7"/>
  <c r="L53" i="7" s="1"/>
  <c r="M49" i="7"/>
  <c r="J49" i="7"/>
  <c r="K49" i="7" s="1"/>
  <c r="J48" i="7"/>
  <c r="J47" i="7"/>
  <c r="K47" i="7" s="1"/>
  <c r="J46" i="7"/>
  <c r="L49" i="7" s="1"/>
  <c r="M45" i="7"/>
  <c r="J45" i="7"/>
  <c r="K45" i="7" s="1"/>
  <c r="J44" i="7"/>
  <c r="J43" i="7"/>
  <c r="K43" i="7" s="1"/>
  <c r="J42" i="7"/>
  <c r="L45" i="7" s="1"/>
  <c r="M41" i="7"/>
  <c r="J41" i="7"/>
  <c r="K41" i="7" s="1"/>
  <c r="J40" i="7"/>
  <c r="J39" i="7"/>
  <c r="K39" i="7" s="1"/>
  <c r="J38" i="7"/>
  <c r="L41" i="7" s="1"/>
  <c r="M37" i="7"/>
  <c r="J37" i="7"/>
  <c r="K37" i="7" s="1"/>
  <c r="J36" i="7"/>
  <c r="J35" i="7"/>
  <c r="K35" i="7" s="1"/>
  <c r="J34" i="7"/>
  <c r="L37" i="7" s="1"/>
  <c r="M33" i="7"/>
  <c r="J33" i="7"/>
  <c r="K33" i="7" s="1"/>
  <c r="J32" i="7"/>
  <c r="J31" i="7"/>
  <c r="K31" i="7" s="1"/>
  <c r="J30" i="7"/>
  <c r="L33" i="7" s="1"/>
  <c r="M29" i="7"/>
  <c r="J29" i="7"/>
  <c r="K29" i="7" s="1"/>
  <c r="J28" i="7"/>
  <c r="J27" i="7"/>
  <c r="K27" i="7" s="1"/>
  <c r="J26" i="7"/>
  <c r="L29" i="7" s="1"/>
  <c r="M25" i="7"/>
  <c r="J25" i="7"/>
  <c r="K25" i="7" s="1"/>
  <c r="J24" i="7"/>
  <c r="L25" i="7" s="1"/>
  <c r="J23" i="7"/>
  <c r="K23" i="7" s="1"/>
  <c r="J22" i="7"/>
  <c r="M21" i="7"/>
  <c r="J21" i="7"/>
  <c r="K21" i="7" s="1"/>
  <c r="J20" i="7"/>
  <c r="J19" i="7"/>
  <c r="K19" i="7" s="1"/>
  <c r="J18" i="7"/>
  <c r="L21" i="7" s="1"/>
  <c r="M17" i="7"/>
  <c r="J17" i="7"/>
  <c r="K17" i="7" s="1"/>
  <c r="J16" i="7"/>
  <c r="J15" i="7"/>
  <c r="K15" i="7" s="1"/>
  <c r="J14" i="7"/>
  <c r="L17" i="7" s="1"/>
  <c r="J9" i="7"/>
  <c r="C7" i="7"/>
  <c r="K6" i="7"/>
  <c r="A6" i="7"/>
  <c r="I82" i="6"/>
  <c r="H82" i="6"/>
  <c r="G82" i="6"/>
  <c r="F82" i="6"/>
  <c r="E82" i="6"/>
  <c r="D82" i="6"/>
  <c r="C82" i="6"/>
  <c r="B82" i="6"/>
  <c r="J82" i="6" s="1"/>
  <c r="M81" i="6"/>
  <c r="J81" i="6"/>
  <c r="K81" i="6" s="1"/>
  <c r="J80" i="6"/>
  <c r="J79" i="6"/>
  <c r="K79" i="6" s="1"/>
  <c r="J78" i="6"/>
  <c r="L81" i="6" s="1"/>
  <c r="M77" i="6"/>
  <c r="J77" i="6"/>
  <c r="J76" i="6"/>
  <c r="K77" i="6" s="1"/>
  <c r="J75" i="6"/>
  <c r="K75" i="6" s="1"/>
  <c r="J74" i="6"/>
  <c r="L77" i="6" s="1"/>
  <c r="M73" i="6"/>
  <c r="J73" i="6"/>
  <c r="K73" i="6" s="1"/>
  <c r="J72" i="6"/>
  <c r="J71" i="6"/>
  <c r="K71" i="6" s="1"/>
  <c r="J70" i="6"/>
  <c r="L73" i="6" s="1"/>
  <c r="M69" i="6"/>
  <c r="J69" i="6"/>
  <c r="K69" i="6" s="1"/>
  <c r="J68" i="6"/>
  <c r="J67" i="6"/>
  <c r="K67" i="6" s="1"/>
  <c r="J66" i="6"/>
  <c r="L69" i="6" s="1"/>
  <c r="M65" i="6"/>
  <c r="J65" i="6"/>
  <c r="K65" i="6" s="1"/>
  <c r="J64" i="6"/>
  <c r="J63" i="6"/>
  <c r="K63" i="6" s="1"/>
  <c r="J62" i="6"/>
  <c r="L65" i="6" s="1"/>
  <c r="M61" i="6"/>
  <c r="J61" i="6"/>
  <c r="K61" i="6" s="1"/>
  <c r="J60" i="6"/>
  <c r="J59" i="6"/>
  <c r="K59" i="6" s="1"/>
  <c r="J58" i="6"/>
  <c r="L61" i="6" s="1"/>
  <c r="M57" i="6"/>
  <c r="J57" i="6"/>
  <c r="K57" i="6" s="1"/>
  <c r="J56" i="6"/>
  <c r="J55" i="6"/>
  <c r="K55" i="6" s="1"/>
  <c r="J54" i="6"/>
  <c r="L57" i="6" s="1"/>
  <c r="M53" i="6"/>
  <c r="J53" i="6"/>
  <c r="K53" i="6" s="1"/>
  <c r="J52" i="6"/>
  <c r="J51" i="6"/>
  <c r="K51" i="6" s="1"/>
  <c r="J50" i="6"/>
  <c r="L53" i="6" s="1"/>
  <c r="M49" i="6"/>
  <c r="J49" i="6"/>
  <c r="K49" i="6" s="1"/>
  <c r="J48" i="6"/>
  <c r="J47" i="6"/>
  <c r="K47" i="6" s="1"/>
  <c r="J46" i="6"/>
  <c r="L49" i="6" s="1"/>
  <c r="M45" i="6"/>
  <c r="J45" i="6"/>
  <c r="K45" i="6" s="1"/>
  <c r="J44" i="6"/>
  <c r="J43" i="6"/>
  <c r="K43" i="6" s="1"/>
  <c r="J42" i="6"/>
  <c r="L45" i="6" s="1"/>
  <c r="M41" i="6"/>
  <c r="J41" i="6"/>
  <c r="K41" i="6" s="1"/>
  <c r="J40" i="6"/>
  <c r="J39" i="6"/>
  <c r="K39" i="6" s="1"/>
  <c r="J38" i="6"/>
  <c r="L41" i="6" s="1"/>
  <c r="M37" i="6"/>
  <c r="J37" i="6"/>
  <c r="K37" i="6" s="1"/>
  <c r="J36" i="6"/>
  <c r="J35" i="6"/>
  <c r="K35" i="6" s="1"/>
  <c r="J34" i="6"/>
  <c r="L37" i="6" s="1"/>
  <c r="M33" i="6"/>
  <c r="J33" i="6"/>
  <c r="K33" i="6" s="1"/>
  <c r="J32" i="6"/>
  <c r="J31" i="6"/>
  <c r="K31" i="6" s="1"/>
  <c r="J30" i="6"/>
  <c r="L33" i="6" s="1"/>
  <c r="M29" i="6"/>
  <c r="J29" i="6"/>
  <c r="K29" i="6" s="1"/>
  <c r="J28" i="6"/>
  <c r="J27" i="6"/>
  <c r="K27" i="6" s="1"/>
  <c r="J26" i="6"/>
  <c r="L29" i="6" s="1"/>
  <c r="M25" i="6"/>
  <c r="J25" i="6"/>
  <c r="K25" i="6" s="1"/>
  <c r="J24" i="6"/>
  <c r="J23" i="6"/>
  <c r="K23" i="6" s="1"/>
  <c r="J22" i="6"/>
  <c r="L25" i="6" s="1"/>
  <c r="M21" i="6"/>
  <c r="J21" i="6"/>
  <c r="K21" i="6" s="1"/>
  <c r="J20" i="6"/>
  <c r="J19" i="6"/>
  <c r="K19" i="6" s="1"/>
  <c r="J18" i="6"/>
  <c r="L21" i="6" s="1"/>
  <c r="M17" i="6"/>
  <c r="J17" i="6"/>
  <c r="K17" i="6" s="1"/>
  <c r="J16" i="6"/>
  <c r="J15" i="6"/>
  <c r="K15" i="6" s="1"/>
  <c r="J14" i="6"/>
  <c r="L17" i="6" s="1"/>
  <c r="J9" i="6"/>
  <c r="C7" i="6"/>
  <c r="K6" i="6"/>
  <c r="A6" i="6"/>
  <c r="I82" i="5"/>
  <c r="H82" i="5"/>
  <c r="G82" i="5"/>
  <c r="F82" i="5"/>
  <c r="E82" i="5"/>
  <c r="D82" i="5"/>
  <c r="C82" i="5"/>
  <c r="B82" i="5"/>
  <c r="J82" i="5" s="1"/>
  <c r="M81" i="5"/>
  <c r="J81" i="5"/>
  <c r="K81" i="5" s="1"/>
  <c r="J80" i="5"/>
  <c r="J79" i="5"/>
  <c r="K79" i="5" s="1"/>
  <c r="J78" i="5"/>
  <c r="L81" i="5" s="1"/>
  <c r="M77" i="5"/>
  <c r="L77" i="5"/>
  <c r="K77" i="5"/>
  <c r="J77" i="5"/>
  <c r="J76" i="5"/>
  <c r="J75" i="5"/>
  <c r="K75" i="5" s="1"/>
  <c r="J74" i="5"/>
  <c r="M73" i="5"/>
  <c r="J73" i="5"/>
  <c r="K73" i="5" s="1"/>
  <c r="J72" i="5"/>
  <c r="J71" i="5"/>
  <c r="K71" i="5" s="1"/>
  <c r="J70" i="5"/>
  <c r="L73" i="5" s="1"/>
  <c r="M69" i="5"/>
  <c r="J69" i="5"/>
  <c r="K69" i="5" s="1"/>
  <c r="J68" i="5"/>
  <c r="J67" i="5"/>
  <c r="K67" i="5" s="1"/>
  <c r="J66" i="5"/>
  <c r="L69" i="5" s="1"/>
  <c r="M65" i="5"/>
  <c r="J65" i="5"/>
  <c r="K65" i="5" s="1"/>
  <c r="J64" i="5"/>
  <c r="J63" i="5"/>
  <c r="K63" i="5" s="1"/>
  <c r="J62" i="5"/>
  <c r="L65" i="5" s="1"/>
  <c r="M61" i="5"/>
  <c r="J61" i="5"/>
  <c r="K61" i="5" s="1"/>
  <c r="J60" i="5"/>
  <c r="J59" i="5"/>
  <c r="K59" i="5" s="1"/>
  <c r="J58" i="5"/>
  <c r="L61" i="5" s="1"/>
  <c r="M57" i="5"/>
  <c r="J57" i="5"/>
  <c r="K57" i="5" s="1"/>
  <c r="J56" i="5"/>
  <c r="J55" i="5"/>
  <c r="K55" i="5" s="1"/>
  <c r="J54" i="5"/>
  <c r="L57" i="5" s="1"/>
  <c r="M53" i="5"/>
  <c r="J53" i="5"/>
  <c r="K53" i="5" s="1"/>
  <c r="J52" i="5"/>
  <c r="J51" i="5"/>
  <c r="K51" i="5" s="1"/>
  <c r="J50" i="5"/>
  <c r="L53" i="5" s="1"/>
  <c r="M49" i="5"/>
  <c r="J49" i="5"/>
  <c r="K49" i="5" s="1"/>
  <c r="J48" i="5"/>
  <c r="J47" i="5"/>
  <c r="K47" i="5" s="1"/>
  <c r="J46" i="5"/>
  <c r="L49" i="5" s="1"/>
  <c r="M45" i="5"/>
  <c r="J45" i="5"/>
  <c r="K45" i="5" s="1"/>
  <c r="J44" i="5"/>
  <c r="J43" i="5"/>
  <c r="K43" i="5" s="1"/>
  <c r="J42" i="5"/>
  <c r="L45" i="5" s="1"/>
  <c r="M41" i="5"/>
  <c r="J41" i="5"/>
  <c r="K41" i="5" s="1"/>
  <c r="J40" i="5"/>
  <c r="J39" i="5"/>
  <c r="K39" i="5" s="1"/>
  <c r="J38" i="5"/>
  <c r="L41" i="5" s="1"/>
  <c r="M37" i="5"/>
  <c r="J37" i="5"/>
  <c r="K37" i="5" s="1"/>
  <c r="J36" i="5"/>
  <c r="J35" i="5"/>
  <c r="K35" i="5" s="1"/>
  <c r="J34" i="5"/>
  <c r="L37" i="5" s="1"/>
  <c r="M33" i="5"/>
  <c r="J33" i="5"/>
  <c r="K33" i="5" s="1"/>
  <c r="J32" i="5"/>
  <c r="J31" i="5"/>
  <c r="K31" i="5" s="1"/>
  <c r="J30" i="5"/>
  <c r="L33" i="5" s="1"/>
  <c r="M29" i="5"/>
  <c r="L29" i="5"/>
  <c r="K29" i="5"/>
  <c r="J29" i="5"/>
  <c r="J28" i="5"/>
  <c r="J27" i="5"/>
  <c r="K27" i="5" s="1"/>
  <c r="J26" i="5"/>
  <c r="M25" i="5"/>
  <c r="J25" i="5"/>
  <c r="K25" i="5" s="1"/>
  <c r="J24" i="5"/>
  <c r="J23" i="5"/>
  <c r="K23" i="5" s="1"/>
  <c r="J22" i="5"/>
  <c r="L25" i="5" s="1"/>
  <c r="M21" i="5"/>
  <c r="J21" i="5"/>
  <c r="K21" i="5" s="1"/>
  <c r="J20" i="5"/>
  <c r="J19" i="5"/>
  <c r="K19" i="5" s="1"/>
  <c r="J18" i="5"/>
  <c r="L21" i="5" s="1"/>
  <c r="M17" i="5"/>
  <c r="J17" i="5"/>
  <c r="K17" i="5" s="1"/>
  <c r="J16" i="5"/>
  <c r="J15" i="5"/>
  <c r="K15" i="5" s="1"/>
  <c r="J14" i="5"/>
  <c r="L17" i="5" s="1"/>
  <c r="J9" i="5"/>
  <c r="C7" i="5"/>
  <c r="K6" i="5"/>
  <c r="A6" i="5"/>
  <c r="I82" i="4"/>
  <c r="H82" i="4"/>
  <c r="G82" i="4"/>
  <c r="F82" i="4"/>
  <c r="E82" i="4"/>
  <c r="D82" i="4"/>
  <c r="C82" i="4"/>
  <c r="B82" i="4"/>
  <c r="J82" i="4" s="1"/>
  <c r="M81" i="4"/>
  <c r="J81" i="4"/>
  <c r="K81" i="4" s="1"/>
  <c r="J80" i="4"/>
  <c r="J79" i="4"/>
  <c r="K79" i="4" s="1"/>
  <c r="J78" i="4"/>
  <c r="L81" i="4" s="1"/>
  <c r="M77" i="4"/>
  <c r="J77" i="4"/>
  <c r="K77" i="4" s="1"/>
  <c r="J76" i="4"/>
  <c r="J75" i="4"/>
  <c r="K75" i="4" s="1"/>
  <c r="J74" i="4"/>
  <c r="L77" i="4" s="1"/>
  <c r="M73" i="4"/>
  <c r="J73" i="4"/>
  <c r="K73" i="4" s="1"/>
  <c r="J72" i="4"/>
  <c r="J71" i="4"/>
  <c r="K71" i="4" s="1"/>
  <c r="J70" i="4"/>
  <c r="L73" i="4" s="1"/>
  <c r="M69" i="4"/>
  <c r="J69" i="4"/>
  <c r="K69" i="4" s="1"/>
  <c r="J68" i="4"/>
  <c r="J67" i="4"/>
  <c r="K67" i="4" s="1"/>
  <c r="J66" i="4"/>
  <c r="L69" i="4" s="1"/>
  <c r="M65" i="4"/>
  <c r="J65" i="4"/>
  <c r="K65" i="4" s="1"/>
  <c r="J64" i="4"/>
  <c r="J63" i="4"/>
  <c r="K63" i="4" s="1"/>
  <c r="J62" i="4"/>
  <c r="L65" i="4" s="1"/>
  <c r="M61" i="4"/>
  <c r="J61" i="4"/>
  <c r="K61" i="4" s="1"/>
  <c r="J60" i="4"/>
  <c r="J59" i="4"/>
  <c r="K59" i="4" s="1"/>
  <c r="J58" i="4"/>
  <c r="L61" i="4" s="1"/>
  <c r="M57" i="4"/>
  <c r="J57" i="4"/>
  <c r="K57" i="4" s="1"/>
  <c r="J56" i="4"/>
  <c r="L57" i="4" s="1"/>
  <c r="K55" i="4"/>
  <c r="J55" i="4"/>
  <c r="J54" i="4"/>
  <c r="M53" i="4"/>
  <c r="J53" i="4"/>
  <c r="K53" i="4" s="1"/>
  <c r="J52" i="4"/>
  <c r="J51" i="4"/>
  <c r="K51" i="4" s="1"/>
  <c r="J50" i="4"/>
  <c r="L53" i="4" s="1"/>
  <c r="M49" i="4"/>
  <c r="J49" i="4"/>
  <c r="K49" i="4" s="1"/>
  <c r="J48" i="4"/>
  <c r="J47" i="4"/>
  <c r="K47" i="4" s="1"/>
  <c r="J46" i="4"/>
  <c r="L49" i="4" s="1"/>
  <c r="M45" i="4"/>
  <c r="J45" i="4"/>
  <c r="K45" i="4" s="1"/>
  <c r="J44" i="4"/>
  <c r="J43" i="4"/>
  <c r="K43" i="4" s="1"/>
  <c r="J42" i="4"/>
  <c r="L45" i="4" s="1"/>
  <c r="M41" i="4"/>
  <c r="J41" i="4"/>
  <c r="K41" i="4" s="1"/>
  <c r="J40" i="4"/>
  <c r="J39" i="4"/>
  <c r="K39" i="4" s="1"/>
  <c r="J38" i="4"/>
  <c r="L41" i="4" s="1"/>
  <c r="M37" i="4"/>
  <c r="J37" i="4"/>
  <c r="K37" i="4" s="1"/>
  <c r="J36" i="4"/>
  <c r="J35" i="4"/>
  <c r="K35" i="4" s="1"/>
  <c r="J34" i="4"/>
  <c r="L37" i="4" s="1"/>
  <c r="M33" i="4"/>
  <c r="J33" i="4"/>
  <c r="K33" i="4" s="1"/>
  <c r="J32" i="4"/>
  <c r="J31" i="4"/>
  <c r="K31" i="4" s="1"/>
  <c r="J30" i="4"/>
  <c r="L33" i="4" s="1"/>
  <c r="M29" i="4"/>
  <c r="J29" i="4"/>
  <c r="K29" i="4" s="1"/>
  <c r="J28" i="4"/>
  <c r="J27" i="4"/>
  <c r="K27" i="4" s="1"/>
  <c r="J26" i="4"/>
  <c r="L29" i="4" s="1"/>
  <c r="M25" i="4"/>
  <c r="J25" i="4"/>
  <c r="K25" i="4" s="1"/>
  <c r="J24" i="4"/>
  <c r="J23" i="4"/>
  <c r="K23" i="4" s="1"/>
  <c r="J22" i="4"/>
  <c r="L25" i="4" s="1"/>
  <c r="M21" i="4"/>
  <c r="J21" i="4"/>
  <c r="K21" i="4" s="1"/>
  <c r="J20" i="4"/>
  <c r="J19" i="4"/>
  <c r="K19" i="4" s="1"/>
  <c r="J18" i="4"/>
  <c r="L21" i="4" s="1"/>
  <c r="M17" i="4"/>
  <c r="J17" i="4"/>
  <c r="K17" i="4" s="1"/>
  <c r="J16" i="4"/>
  <c r="J15" i="4"/>
  <c r="K15" i="4" s="1"/>
  <c r="J14" i="4"/>
  <c r="L17" i="4" s="1"/>
  <c r="J9" i="4"/>
  <c r="C7" i="4"/>
  <c r="K6" i="4"/>
  <c r="A6" i="4"/>
  <c r="I82" i="3"/>
  <c r="H82" i="3"/>
  <c r="G82" i="3"/>
  <c r="F82" i="3"/>
  <c r="E82" i="3"/>
  <c r="D82" i="3"/>
  <c r="C82" i="3"/>
  <c r="B82" i="3"/>
  <c r="J82" i="3" s="1"/>
  <c r="M81" i="3"/>
  <c r="J81" i="3"/>
  <c r="K81" i="3" s="1"/>
  <c r="J80" i="3"/>
  <c r="J79" i="3"/>
  <c r="K79" i="3" s="1"/>
  <c r="J78" i="3"/>
  <c r="L81" i="3" s="1"/>
  <c r="M77" i="3"/>
  <c r="J77" i="3"/>
  <c r="K77" i="3" s="1"/>
  <c r="J76" i="3"/>
  <c r="J75" i="3"/>
  <c r="K75" i="3" s="1"/>
  <c r="J74" i="3"/>
  <c r="L77" i="3" s="1"/>
  <c r="M73" i="3"/>
  <c r="J73" i="3"/>
  <c r="K73" i="3" s="1"/>
  <c r="J72" i="3"/>
  <c r="J71" i="3"/>
  <c r="K71" i="3" s="1"/>
  <c r="J70" i="3"/>
  <c r="L73" i="3" s="1"/>
  <c r="M69" i="3"/>
  <c r="J69" i="3"/>
  <c r="K69" i="3" s="1"/>
  <c r="J68" i="3"/>
  <c r="J67" i="3"/>
  <c r="K67" i="3" s="1"/>
  <c r="J66" i="3"/>
  <c r="L69" i="3" s="1"/>
  <c r="M65" i="3"/>
  <c r="J65" i="3"/>
  <c r="K65" i="3" s="1"/>
  <c r="J64" i="3"/>
  <c r="J63" i="3"/>
  <c r="K63" i="3" s="1"/>
  <c r="J62" i="3"/>
  <c r="L65" i="3" s="1"/>
  <c r="M61" i="3"/>
  <c r="J61" i="3"/>
  <c r="K61" i="3" s="1"/>
  <c r="J60" i="3"/>
  <c r="J59" i="3"/>
  <c r="K59" i="3" s="1"/>
  <c r="J58" i="3"/>
  <c r="L61" i="3" s="1"/>
  <c r="M57" i="3"/>
  <c r="J57" i="3"/>
  <c r="K57" i="3" s="1"/>
  <c r="J56" i="3"/>
  <c r="J55" i="3"/>
  <c r="K55" i="3" s="1"/>
  <c r="J54" i="3"/>
  <c r="L57" i="3" s="1"/>
  <c r="M53" i="3"/>
  <c r="J53" i="3"/>
  <c r="K53" i="3" s="1"/>
  <c r="J52" i="3"/>
  <c r="J51" i="3"/>
  <c r="K51" i="3" s="1"/>
  <c r="J50" i="3"/>
  <c r="L53" i="3" s="1"/>
  <c r="M49" i="3"/>
  <c r="J49" i="3"/>
  <c r="K49" i="3" s="1"/>
  <c r="J48" i="3"/>
  <c r="J47" i="3"/>
  <c r="K47" i="3" s="1"/>
  <c r="J46" i="3"/>
  <c r="L49" i="3" s="1"/>
  <c r="M45" i="3"/>
  <c r="J45" i="3"/>
  <c r="K45" i="3" s="1"/>
  <c r="J44" i="3"/>
  <c r="J43" i="3"/>
  <c r="K43" i="3" s="1"/>
  <c r="J42" i="3"/>
  <c r="L45" i="3" s="1"/>
  <c r="M41" i="3"/>
  <c r="J41" i="3"/>
  <c r="J40" i="3"/>
  <c r="K41" i="3" s="1"/>
  <c r="J39" i="3"/>
  <c r="K39" i="3" s="1"/>
  <c r="J38" i="3"/>
  <c r="L41" i="3" s="1"/>
  <c r="M37" i="3"/>
  <c r="J37" i="3"/>
  <c r="K37" i="3" s="1"/>
  <c r="J36" i="3"/>
  <c r="J35" i="3"/>
  <c r="K35" i="3" s="1"/>
  <c r="J34" i="3"/>
  <c r="L37" i="3" s="1"/>
  <c r="M33" i="3"/>
  <c r="J33" i="3"/>
  <c r="K33" i="3" s="1"/>
  <c r="J32" i="3"/>
  <c r="J31" i="3"/>
  <c r="K31" i="3" s="1"/>
  <c r="J30" i="3"/>
  <c r="L33" i="3" s="1"/>
  <c r="M29" i="3"/>
  <c r="J29" i="3"/>
  <c r="K29" i="3" s="1"/>
  <c r="J28" i="3"/>
  <c r="J27" i="3"/>
  <c r="K27" i="3" s="1"/>
  <c r="J26" i="3"/>
  <c r="L29" i="3" s="1"/>
  <c r="M25" i="3"/>
  <c r="J25" i="3"/>
  <c r="K25" i="3" s="1"/>
  <c r="J24" i="3"/>
  <c r="J23" i="3"/>
  <c r="K23" i="3" s="1"/>
  <c r="J22" i="3"/>
  <c r="L25" i="3" s="1"/>
  <c r="M21" i="3"/>
  <c r="J21" i="3"/>
  <c r="K21" i="3" s="1"/>
  <c r="J20" i="3"/>
  <c r="J19" i="3"/>
  <c r="K19" i="3" s="1"/>
  <c r="J18" i="3"/>
  <c r="L21" i="3" s="1"/>
  <c r="M17" i="3"/>
  <c r="J17" i="3"/>
  <c r="K17" i="3" s="1"/>
  <c r="J16" i="3"/>
  <c r="J15" i="3"/>
  <c r="K15" i="3" s="1"/>
  <c r="J14" i="3"/>
  <c r="L17" i="3" s="1"/>
  <c r="J9" i="3"/>
  <c r="C7" i="3"/>
  <c r="K6" i="3"/>
  <c r="A6" i="3"/>
  <c r="I82" i="2"/>
  <c r="H82" i="2"/>
  <c r="G82" i="2"/>
  <c r="F82" i="2"/>
  <c r="E82" i="2"/>
  <c r="D82" i="2"/>
  <c r="C82" i="2"/>
  <c r="B82" i="2"/>
  <c r="J82" i="2" s="1"/>
  <c r="M81" i="2"/>
  <c r="J81" i="2"/>
  <c r="K81" i="2" s="1"/>
  <c r="J80" i="2"/>
  <c r="J79" i="2"/>
  <c r="K79" i="2" s="1"/>
  <c r="J78" i="2"/>
  <c r="L81" i="2" s="1"/>
  <c r="M77" i="2"/>
  <c r="J77" i="2"/>
  <c r="K77" i="2" s="1"/>
  <c r="J76" i="2"/>
  <c r="J75" i="2"/>
  <c r="K75" i="2" s="1"/>
  <c r="J74" i="2"/>
  <c r="L77" i="2" s="1"/>
  <c r="M73" i="2"/>
  <c r="J73" i="2"/>
  <c r="K73" i="2" s="1"/>
  <c r="J72" i="2"/>
  <c r="J71" i="2"/>
  <c r="K71" i="2" s="1"/>
  <c r="J70" i="2"/>
  <c r="L73" i="2" s="1"/>
  <c r="M69" i="2"/>
  <c r="J69" i="2"/>
  <c r="K69" i="2" s="1"/>
  <c r="J68" i="2"/>
  <c r="J67" i="2"/>
  <c r="K67" i="2" s="1"/>
  <c r="J66" i="2"/>
  <c r="L69" i="2" s="1"/>
  <c r="M65" i="2"/>
  <c r="J65" i="2"/>
  <c r="K65" i="2" s="1"/>
  <c r="J64" i="2"/>
  <c r="J63" i="2"/>
  <c r="K63" i="2" s="1"/>
  <c r="J62" i="2"/>
  <c r="L65" i="2" s="1"/>
  <c r="M61" i="2"/>
  <c r="J61" i="2"/>
  <c r="J60" i="2"/>
  <c r="J59" i="2"/>
  <c r="K59" i="2" s="1"/>
  <c r="J58" i="2"/>
  <c r="M57" i="2"/>
  <c r="J57" i="2"/>
  <c r="K57" i="2" s="1"/>
  <c r="J56" i="2"/>
  <c r="J55" i="2"/>
  <c r="K55" i="2" s="1"/>
  <c r="J54" i="2"/>
  <c r="L57" i="2" s="1"/>
  <c r="M53" i="2"/>
  <c r="J53" i="2"/>
  <c r="K53" i="2" s="1"/>
  <c r="J52" i="2"/>
  <c r="J51" i="2"/>
  <c r="K51" i="2" s="1"/>
  <c r="J50" i="2"/>
  <c r="L53" i="2" s="1"/>
  <c r="M49" i="2"/>
  <c r="J49" i="2"/>
  <c r="K49" i="2" s="1"/>
  <c r="J48" i="2"/>
  <c r="J47" i="2"/>
  <c r="K47" i="2" s="1"/>
  <c r="J46" i="2"/>
  <c r="L49" i="2" s="1"/>
  <c r="M45" i="2"/>
  <c r="J45" i="2"/>
  <c r="K45" i="2" s="1"/>
  <c r="J44" i="2"/>
  <c r="J43" i="2"/>
  <c r="K43" i="2" s="1"/>
  <c r="J42" i="2"/>
  <c r="L45" i="2" s="1"/>
  <c r="M41" i="2"/>
  <c r="J41" i="2"/>
  <c r="K41" i="2" s="1"/>
  <c r="J40" i="2"/>
  <c r="J39" i="2"/>
  <c r="K39" i="2" s="1"/>
  <c r="J38" i="2"/>
  <c r="L41" i="2" s="1"/>
  <c r="M37" i="2"/>
  <c r="J37" i="2"/>
  <c r="K37" i="2" s="1"/>
  <c r="J36" i="2"/>
  <c r="J35" i="2"/>
  <c r="K35" i="2" s="1"/>
  <c r="J34" i="2"/>
  <c r="L37" i="2" s="1"/>
  <c r="M33" i="2"/>
  <c r="J33" i="2"/>
  <c r="K33" i="2" s="1"/>
  <c r="J32" i="2"/>
  <c r="J31" i="2"/>
  <c r="K31" i="2" s="1"/>
  <c r="J30" i="2"/>
  <c r="L33" i="2" s="1"/>
  <c r="M29" i="2"/>
  <c r="J29" i="2"/>
  <c r="K29" i="2" s="1"/>
  <c r="J28" i="2"/>
  <c r="J27" i="2"/>
  <c r="K27" i="2" s="1"/>
  <c r="J26" i="2"/>
  <c r="L29" i="2" s="1"/>
  <c r="M25" i="2"/>
  <c r="J25" i="2"/>
  <c r="K25" i="2" s="1"/>
  <c r="J24" i="2"/>
  <c r="J23" i="2"/>
  <c r="K23" i="2" s="1"/>
  <c r="J22" i="2"/>
  <c r="L25" i="2" s="1"/>
  <c r="M21" i="2"/>
  <c r="J21" i="2"/>
  <c r="K21" i="2" s="1"/>
  <c r="J20" i="2"/>
  <c r="J19" i="2"/>
  <c r="K19" i="2" s="1"/>
  <c r="J18" i="2"/>
  <c r="L21" i="2" s="1"/>
  <c r="M17" i="2"/>
  <c r="J17" i="2"/>
  <c r="K17" i="2" s="1"/>
  <c r="J16" i="2"/>
  <c r="J15" i="2"/>
  <c r="K15" i="2" s="1"/>
  <c r="J14" i="2"/>
  <c r="L17" i="2" s="1"/>
  <c r="J9" i="2"/>
  <c r="C7" i="2"/>
  <c r="K6" i="2"/>
  <c r="A6" i="2"/>
  <c r="L41" i="10" l="1"/>
  <c r="K41" i="10"/>
  <c r="L69" i="9"/>
  <c r="K67" i="9"/>
  <c r="K19" i="9"/>
  <c r="L21" i="9"/>
  <c r="K61" i="2"/>
  <c r="L61" i="2"/>
</calcChain>
</file>

<file path=xl/sharedStrings.xml><?xml version="1.0" encoding="utf-8"?>
<sst xmlns="http://schemas.openxmlformats.org/spreadsheetml/2006/main" count="1398" uniqueCount="138">
  <si>
    <t>www.verkehrszählung.at</t>
  </si>
  <si>
    <t>Verkehrszählungsort :</t>
  </si>
  <si>
    <t>B122 / Badhaller Straße / Holznerweg (Bad Hall)</t>
  </si>
  <si>
    <t>Lfd. Nummer :</t>
  </si>
  <si>
    <t>Zählzeit :</t>
  </si>
  <si>
    <t>7-19 Uhr</t>
  </si>
  <si>
    <t>Datum :</t>
  </si>
  <si>
    <t>Sachbearbeiter :</t>
  </si>
  <si>
    <t>Schwap</t>
  </si>
  <si>
    <t>Wetter :</t>
  </si>
  <si>
    <t>9-14 ° sonnig</t>
  </si>
  <si>
    <t>Anmerkungen :</t>
  </si>
  <si>
    <t>ICRA Schwap e.U.</t>
  </si>
  <si>
    <t>VERKEHRSZÄHLUNG - PKW-Einheiten</t>
  </si>
  <si>
    <t>Verkehrszählung :</t>
  </si>
  <si>
    <t>Zählstelle :</t>
  </si>
  <si>
    <t>ICRA / Schwap</t>
  </si>
  <si>
    <t>Richtung :</t>
  </si>
  <si>
    <t>R1</t>
  </si>
  <si>
    <t>Uhrzeit :</t>
  </si>
  <si>
    <t>Bemerkung :</t>
  </si>
  <si>
    <t>Faktoren</t>
  </si>
  <si>
    <t>einsp.</t>
  </si>
  <si>
    <t>PKW</t>
  </si>
  <si>
    <t>Linien-</t>
  </si>
  <si>
    <t>Reise-</t>
  </si>
  <si>
    <t>LKW</t>
  </si>
  <si>
    <t>LKW +</t>
  </si>
  <si>
    <t>Traktor</t>
  </si>
  <si>
    <t>PKW-E</t>
  </si>
  <si>
    <t>KFZ</t>
  </si>
  <si>
    <t>Zeit</t>
  </si>
  <si>
    <t>Rad</t>
  </si>
  <si>
    <t>Kombi</t>
  </si>
  <si>
    <t>bus</t>
  </si>
  <si>
    <t>Anh.</t>
  </si>
  <si>
    <t>Sonst.</t>
  </si>
  <si>
    <t>/ 15 min</t>
  </si>
  <si>
    <t>/ 30 min</t>
  </si>
  <si>
    <t>/ 1 Std.</t>
  </si>
  <si>
    <t>5:00-5:15</t>
  </si>
  <si>
    <t>5:15-5:30</t>
  </si>
  <si>
    <t>5:30-5:45</t>
  </si>
  <si>
    <t>5:45-6:00</t>
  </si>
  <si>
    <t>6:00-6:15</t>
  </si>
  <si>
    <t>6:15-6:30</t>
  </si>
  <si>
    <t>6:30-6:45</t>
  </si>
  <si>
    <t>6:45-7:00</t>
  </si>
  <si>
    <t>7:00-7:15</t>
  </si>
  <si>
    <t>7:15-7:30</t>
  </si>
  <si>
    <t>7:30-7:45</t>
  </si>
  <si>
    <t>7:45-8:00</t>
  </si>
  <si>
    <t>8:00-8:15</t>
  </si>
  <si>
    <t>8:15-8:30</t>
  </si>
  <si>
    <t>8:30-8:45</t>
  </si>
  <si>
    <t>8:45-9:00</t>
  </si>
  <si>
    <t>9:00-9:15</t>
  </si>
  <si>
    <t>9:15-9:30</t>
  </si>
  <si>
    <t>9:30-9:45</t>
  </si>
  <si>
    <t>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</si>
  <si>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</si>
  <si>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</si>
  <si>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</si>
  <si>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</si>
  <si>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</si>
  <si>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</si>
  <si>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</si>
  <si>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</si>
  <si>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</si>
  <si>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</si>
  <si>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</si>
  <si>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</si>
  <si>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</si>
  <si>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</si>
  <si>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</si>
  <si>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</si>
  <si>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</si>
  <si>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</si>
  <si>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</si>
  <si>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</si>
  <si>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</si>
  <si>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</si>
  <si>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</si>
  <si>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</si>
  <si>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</si>
  <si>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</si>
  <si>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</si>
  <si>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</si>
  <si>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</si>
  <si>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</si>
  <si>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</si>
  <si>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</si>
  <si>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</si>
  <si>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</si>
  <si>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</si>
  <si>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</si>
  <si>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</si>
  <si>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</si>
  <si>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</si>
  <si>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</si>
  <si>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</si>
  <si>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</si>
  <si>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</si>
  <si>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</si>
  <si>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</si>
  <si>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</si>
  <si>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</si>
  <si>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</si>
  <si>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SUMME :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</si>
  <si>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</si>
  <si>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</si>
  <si>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</si>
  <si>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</si>
  <si>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</si>
  <si>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</si>
  <si>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</si>
  <si>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</si>
  <si>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</si>
  <si>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</si>
  <si>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</si>
  <si>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VERKEHRSZÄHLUNG – Fußgänger/Radfahrer</t>
  </si>
  <si>
    <t>FG A</t>
  </si>
  <si>
    <t>FG B</t>
  </si>
  <si>
    <t>FG D</t>
  </si>
  <si>
    <t>FG/R</t>
  </si>
  <si>
    <t>FG</t>
  </si>
  <si>
    <t xml:space="preserve">Faktoren für Umrechnung PKW-Einheiten nach RVS 03.05.11 </t>
  </si>
  <si>
    <t>einsp. KFZ</t>
  </si>
  <si>
    <t>PKW / Kombi</t>
  </si>
  <si>
    <t>Linienbus</t>
  </si>
  <si>
    <t>Reisebus</t>
  </si>
  <si>
    <t>LKW mit Anhänger</t>
  </si>
  <si>
    <t>sonstige KFZ / Traktoren</t>
  </si>
  <si>
    <t>Faktoren für Umrechnung PKW-Einheiten nach RVS 03.05.31 (VLSA)</t>
  </si>
  <si>
    <t>Motorrad</t>
  </si>
  <si>
    <t>Lkw, Bus Traktor</t>
  </si>
  <si>
    <t>Gelenkbus, Sattelschlepper</t>
  </si>
  <si>
    <t>Lkw mit Anh. oder Traktor mit Anh.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</si>
</sst>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$-409]#,##0.00;[Red]\-[$$-409]#,##0.00"/>
    <numFmt numFmtId="165" formatCode="dddd&quot;, &quot;dd/mm/yy"/>
    <numFmt numFmtId="166" formatCode="dd/mm/yy"/>
    <numFmt numFmtId="167" formatCode="#\:##\-#\:##"/>
    <numFmt numFmtId="168" formatCode="0.0"/>
    <numFmt numFmtId="169" formatCode="d/m/yy"/>
    <numFmt numFmtId="170" formatCode="#,##0.0"/>
  </numFmts>
  <fonts count="27" x14ac:knownFonts="1">
    <font>
      <sz val="10"/>
      <color rgb="FF000000"/>
      <name val="Arial"/>
      <charset val="1"/>
    </font>
    <font>
      <b/>
      <i/>
      <u/>
      <sz val="10"/>
      <color rgb="FF000000"/>
      <name val="Arial"/>
      <charset val="1"/>
    </font>
    <font>
      <b/>
      <i/>
      <sz val="16"/>
      <color rgb="FF00000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20"/>
      <name val="Arial"/>
      <charset val="1"/>
    </font>
    <font>
      <b/>
      <sz val="18"/>
      <name val="Arial"/>
      <charset val="1"/>
    </font>
    <font>
      <b/>
      <sz val="11"/>
      <name val="Arial"/>
      <charset val="1"/>
    </font>
    <font>
      <sz val="15"/>
      <name val="Arial"/>
      <charset val="1"/>
    </font>
    <font>
      <sz val="8"/>
      <name val="Arial"/>
      <charset val="1"/>
    </font>
    <font>
      <sz val="8"/>
      <color rgb="FFFF0000"/>
      <name val="Arial"/>
      <charset val="1"/>
    </font>
    <font>
      <sz val="8"/>
      <color rgb="FFC9211E"/>
      <name val="Arial"/>
      <charset val="1"/>
    </font>
    <font>
      <b/>
      <sz val="14"/>
      <name val="Arial"/>
      <charset val="1"/>
    </font>
    <font>
      <b/>
      <sz val="12"/>
      <name val="Arial"/>
      <charset val="1"/>
    </font>
    <font>
      <b/>
      <sz val="9"/>
      <name val="Arial"/>
      <charset val="1"/>
    </font>
    <font>
      <sz val="8"/>
      <color rgb="FFF44336"/>
      <name val="Arial"/>
      <charset val="1"/>
    </font>
    <font>
      <sz val="8"/>
      <name val="Arial"/>
      <family val="2"/>
      <charset val="1"/>
    </font>
    <font>
      <b/>
      <sz val="10"/>
      <name val="Segoe UI"/>
      <family val="2"/>
      <charset val="1"/>
    </font>
    <font>
      <sz val="10"/>
      <name val="Segoe UI"/>
      <family val="2"/>
      <charset val="1"/>
    </font>
    <font>
      <b/>
      <sz val="14"/>
      <name val="Segoe UI"/>
      <family val="2"/>
      <charset val="1"/>
    </font>
    <font>
      <b/>
      <sz val="12"/>
      <name val="Segoe UI"/>
      <family val="2"/>
      <charset val="1"/>
    </font>
    <font>
      <b/>
      <sz val="7"/>
      <name val="Arial"/>
      <family val="2"/>
      <charset val="1"/>
    </font>
    <font>
      <b/>
      <sz val="10"/>
      <name val="Arial"/>
      <family val="2"/>
      <charset val="1"/>
    </font>
    <font>
      <sz val="8"/>
      <color rgb="FFFF0000"/>
      <name val="Segoe UI"/>
      <family val="2"/>
      <charset val="1"/>
    </font>
    <font>
      <sz val="10"/>
      <color rgb="FFFF0000"/>
      <name val="Segoe UI"/>
      <family val="2"/>
      <charset val="1"/>
    </font>
    <font>
      <sz val="8"/>
      <name val="Segoe UI"/>
      <family val="2"/>
      <charset val="1"/>
    </font>
    <font>
      <sz val="10"/>
      <color rgb="FFC9211E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D3D3D3"/>
      </patternFill>
    </fill>
    <fill>
      <patternFill patternType="solid">
        <fgColor rgb="FFCCFFCC"/>
        <bgColor rgb="FFCCFFFF"/>
      </patternFill>
    </fill>
    <fill>
      <patternFill patternType="solid">
        <fgColor rgb="FFD3D3D3"/>
        <bgColor rgb="FFC0C0C0"/>
      </patternFill>
    </fill>
  </fills>
  <borders count="2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0" borderId="0" applyBorder="0" applyProtection="0"/>
    <xf numFmtId="164" fontId="1" fillId="0" borderId="0" applyBorder="0" applyProtection="0"/>
    <xf numFmtId="0" fontId="2" fillId="0" borderId="0" applyBorder="0" applyProtection="0">
      <alignment horizontal="center"/>
    </xf>
    <xf numFmtId="0" fontId="2" fillId="0" borderId="0" applyBorder="0" applyProtection="0">
      <alignment horizontal="center" textRotation="90"/>
    </xf>
  </cellStyleXfs>
  <cellXfs count="108">
    <xf numFmtId="0" fontId="0" fillId="0" borderId="0" xfId="0"/>
    <xf numFmtId="0" fontId="18" fillId="0" borderId="1" xfId="0" applyFont="1" applyBorder="1" applyAlignment="1">
      <alignment horizontal="center"/>
    </xf>
    <xf numFmtId="14" fontId="4" fillId="0" borderId="0" xfId="0" applyNumberFormat="1" applyFont="1" applyAlignment="1">
      <alignment horizontal="left"/>
    </xf>
    <xf numFmtId="167" fontId="20" fillId="0" borderId="14" xfId="0" applyNumberFormat="1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167" fontId="13" fillId="0" borderId="4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7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8" fillId="0" borderId="0" xfId="0" applyFont="1"/>
    <xf numFmtId="0" fontId="4" fillId="3" borderId="2" xfId="0" applyFont="1" applyFill="1" applyBorder="1" applyAlignment="1">
      <alignment horizontal="left"/>
    </xf>
    <xf numFmtId="0" fontId="3" fillId="3" borderId="2" xfId="0" applyFont="1" applyFill="1" applyBorder="1"/>
    <xf numFmtId="165" fontId="4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left"/>
    </xf>
    <xf numFmtId="0" fontId="11" fillId="0" borderId="0" xfId="0" applyFont="1"/>
    <xf numFmtId="166" fontId="0" fillId="0" borderId="0" xfId="0" applyNumberFormat="1"/>
    <xf numFmtId="0" fontId="3" fillId="0" borderId="5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3" fillId="0" borderId="6" xfId="0" applyFont="1" applyBorder="1"/>
    <xf numFmtId="0" fontId="3" fillId="0" borderId="6" xfId="0" applyFont="1" applyBorder="1" applyAlignment="1">
      <alignment horizontal="right"/>
    </xf>
    <xf numFmtId="0" fontId="3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14" fontId="4" fillId="0" borderId="9" xfId="0" applyNumberFormat="1" applyFont="1" applyBorder="1" applyAlignment="1">
      <alignment horizontal="center"/>
    </xf>
    <xf numFmtId="0" fontId="14" fillId="0" borderId="7" xfId="0" applyFont="1" applyBorder="1" applyAlignment="1">
      <alignment horizontal="left"/>
    </xf>
    <xf numFmtId="0" fontId="3" fillId="0" borderId="2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168" fontId="3" fillId="0" borderId="7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7" fontId="3" fillId="0" borderId="5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7" fontId="3" fillId="0" borderId="9" xfId="0" applyNumberFormat="1" applyFont="1" applyBorder="1" applyAlignment="1">
      <alignment horizontal="center"/>
    </xf>
    <xf numFmtId="49" fontId="9" fillId="0" borderId="12" xfId="0" applyNumberFormat="1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3" xfId="0" applyFont="1" applyBorder="1"/>
    <xf numFmtId="0" fontId="9" fillId="3" borderId="1" xfId="0" applyFont="1" applyFill="1" applyBorder="1" applyAlignment="1">
      <alignment horizontal="center"/>
    </xf>
    <xf numFmtId="0" fontId="9" fillId="0" borderId="14" xfId="0" applyFont="1" applyBorder="1" applyAlignment="1">
      <alignment horizontal="center"/>
    </xf>
    <xf numFmtId="49" fontId="16" fillId="0" borderId="12" xfId="0" applyNumberFormat="1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167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6" xfId="0" applyBorder="1"/>
    <xf numFmtId="0" fontId="9" fillId="0" borderId="6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8" fillId="0" borderId="0" xfId="0" applyFont="1"/>
    <xf numFmtId="0" fontId="18" fillId="0" borderId="15" xfId="0" applyFont="1" applyBorder="1" applyAlignment="1">
      <alignment horizontal="center"/>
    </xf>
    <xf numFmtId="169" fontId="17" fillId="0" borderId="16" xfId="0" applyNumberFormat="1" applyFont="1" applyBorder="1" applyAlignment="1">
      <alignment horizontal="left"/>
    </xf>
    <xf numFmtId="0" fontId="18" fillId="0" borderId="16" xfId="0" applyFont="1" applyBorder="1"/>
    <xf numFmtId="0" fontId="18" fillId="0" borderId="16" xfId="0" applyFont="1" applyBorder="1" applyAlignment="1">
      <alignment horizontal="right"/>
    </xf>
    <xf numFmtId="0" fontId="18" fillId="0" borderId="16" xfId="0" applyFont="1" applyBorder="1" applyAlignment="1">
      <alignment horizontal="left"/>
    </xf>
    <xf numFmtId="0" fontId="18" fillId="0" borderId="17" xfId="0" applyFont="1" applyBorder="1"/>
    <xf numFmtId="14" fontId="17" fillId="0" borderId="18" xfId="0" applyNumberFormat="1" applyFont="1" applyBorder="1" applyAlignment="1">
      <alignment horizontal="center"/>
    </xf>
    <xf numFmtId="0" fontId="18" fillId="0" borderId="0" xfId="0" applyFont="1" applyAlignment="1">
      <alignment horizontal="right"/>
    </xf>
    <xf numFmtId="0" fontId="21" fillId="0" borderId="7" xfId="0" applyFont="1" applyBorder="1" applyAlignment="1">
      <alignment horizontal="left"/>
    </xf>
    <xf numFmtId="0" fontId="18" fillId="0" borderId="19" xfId="0" applyFont="1" applyBorder="1"/>
    <xf numFmtId="0" fontId="18" fillId="0" borderId="18" xfId="0" applyFont="1" applyBorder="1"/>
    <xf numFmtId="0" fontId="17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0" fillId="0" borderId="19" xfId="0" applyBorder="1"/>
    <xf numFmtId="0" fontId="22" fillId="0" borderId="2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8" fillId="0" borderId="19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20" xfId="0" applyFont="1" applyBorder="1"/>
    <xf numFmtId="0" fontId="18" fillId="0" borderId="21" xfId="0" applyFont="1" applyBorder="1" applyAlignment="1">
      <alignment horizontal="right"/>
    </xf>
    <xf numFmtId="0" fontId="23" fillId="0" borderId="21" xfId="0" applyFont="1" applyBorder="1" applyAlignment="1">
      <alignment horizontal="left"/>
    </xf>
    <xf numFmtId="0" fontId="24" fillId="0" borderId="21" xfId="0" applyFont="1" applyBorder="1" applyAlignment="1">
      <alignment horizontal="left"/>
    </xf>
    <xf numFmtId="0" fontId="17" fillId="0" borderId="21" xfId="0" applyFont="1" applyBorder="1" applyAlignment="1">
      <alignment horizontal="left"/>
    </xf>
    <xf numFmtId="0" fontId="18" fillId="0" borderId="21" xfId="0" applyFont="1" applyBorder="1" applyAlignment="1">
      <alignment horizontal="center"/>
    </xf>
    <xf numFmtId="0" fontId="17" fillId="0" borderId="22" xfId="0" applyFont="1" applyBorder="1" applyAlignment="1">
      <alignment horizontal="left"/>
    </xf>
    <xf numFmtId="167" fontId="18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5" fillId="0" borderId="1" xfId="0" applyFont="1" applyBorder="1"/>
    <xf numFmtId="0" fontId="4" fillId="0" borderId="0" xfId="0" applyFont="1" applyAlignment="1">
      <alignment horizontal="left"/>
    </xf>
    <xf numFmtId="168" fontId="3" fillId="0" borderId="0" xfId="0" applyNumberFormat="1" applyFont="1" applyAlignment="1">
      <alignment horizontal="left"/>
    </xf>
    <xf numFmtId="167" fontId="3" fillId="0" borderId="1" xfId="0" applyNumberFormat="1" applyFont="1" applyBorder="1" applyAlignment="1">
      <alignment horizontal="left"/>
    </xf>
    <xf numFmtId="168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wrapText="1"/>
    </xf>
    <xf numFmtId="170" fontId="3" fillId="0" borderId="1" xfId="0" applyNumberFormat="1" applyFont="1" applyBorder="1" applyAlignment="1">
      <alignment horizontal="center"/>
    </xf>
    <xf numFmtId="0" fontId="3" fillId="0" borderId="1" xfId="0" applyFont="1" applyBorder="1"/>
  </cellXfs>
  <cellStyles count="5">
    <cellStyle name="Ergebnis 1" xfId="1" xr:uid="{00000000-0005-0000-0000-000006000000}"/>
    <cellStyle name="Ergebnis2" xfId="2" xr:uid="{00000000-0005-0000-0000-000007000000}"/>
    <cellStyle name="Normal" xfId="0" builtinId="0"/>
    <cellStyle name="Überschrift 3" xfId="3" xr:uid="{00000000-0005-0000-0000-000008000000}"/>
    <cellStyle name="Überschrift1" xfId="4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44336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5"/>
  <sheetViews>
    <sheetView zoomScale="85" zoomScaleNormal="85" workbookViewId="0"/>
  </sheetViews>
  <sheetFormatPr defaultColWidth="15.90625" defaultRowHeight="12.75" customHeight="1" x14ac:dyDescent="0.25"/>
  <cols>
    <col min="1" max="1" width="25.453125" customWidth="1"/>
    <col min="2" max="2" width="3.453125" customWidth="1"/>
    <col min="3" max="4" width="9.08984375" customWidth="1"/>
    <col min="5" max="5" width="2.453125" customWidth="1"/>
    <col min="6" max="7" width="9.08984375" customWidth="1"/>
    <col min="8" max="8" width="2.453125" customWidth="1"/>
    <col min="9" max="9" width="21.36328125" customWidth="1"/>
    <col min="10" max="10" width="4" customWidth="1"/>
    <col min="11" max="11" width="7.6328125" customWidth="1"/>
    <col min="12" max="26" width="9.54296875" customWidth="1"/>
  </cols>
  <sheetData>
    <row r="1" spans="1:26" ht="12.75" customHeight="1" x14ac:dyDescent="0.3">
      <c r="A1" s="8"/>
      <c r="B1" s="8"/>
      <c r="C1" s="8"/>
      <c r="D1" s="8"/>
      <c r="E1" s="8"/>
      <c r="F1" s="8"/>
      <c r="G1" s="8"/>
      <c r="H1" s="8"/>
      <c r="I1" s="9"/>
      <c r="J1" s="9"/>
      <c r="K1" s="10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customHeight="1" x14ac:dyDescent="0.3">
      <c r="A2" s="8"/>
      <c r="B2" s="8"/>
      <c r="C2" s="8"/>
      <c r="D2" s="8"/>
      <c r="E2" s="8"/>
      <c r="F2" s="8"/>
      <c r="G2" s="8"/>
      <c r="H2" s="8"/>
      <c r="I2" s="9"/>
      <c r="J2" s="9"/>
      <c r="K2" s="10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3">
      <c r="A3" s="8"/>
      <c r="B3" s="8"/>
      <c r="C3" s="8"/>
      <c r="D3" s="8"/>
      <c r="E3" s="8"/>
      <c r="F3" s="8"/>
      <c r="G3" s="8"/>
      <c r="H3" s="8"/>
      <c r="I3" s="9"/>
      <c r="J3" s="9"/>
      <c r="K3" s="10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8"/>
      <c r="B4" s="8"/>
      <c r="C4" s="8"/>
      <c r="D4" s="8"/>
      <c r="E4" s="8"/>
      <c r="F4" s="8"/>
      <c r="G4" s="8"/>
      <c r="H4" s="8"/>
      <c r="I4" s="9"/>
      <c r="J4" s="9"/>
      <c r="K4" s="10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4" customHeight="1" x14ac:dyDescent="0.5">
      <c r="A5" s="7" t="s">
        <v>0</v>
      </c>
      <c r="B5" s="7"/>
      <c r="C5" s="7"/>
      <c r="D5" s="7"/>
      <c r="E5" s="7"/>
      <c r="F5" s="7"/>
      <c r="G5" s="7"/>
      <c r="H5" s="7"/>
      <c r="I5" s="7"/>
      <c r="J5" s="7"/>
      <c r="K5" s="10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5">
      <c r="A6" s="8"/>
      <c r="B6" s="8"/>
      <c r="C6" s="11"/>
      <c r="D6" s="8"/>
      <c r="E6" s="8"/>
      <c r="F6" s="8"/>
      <c r="G6" s="8"/>
      <c r="H6" s="8"/>
      <c r="I6" s="9"/>
      <c r="J6" s="9"/>
      <c r="K6" s="10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5">
      <c r="A7" s="8"/>
      <c r="B7" s="8"/>
      <c r="C7" s="11"/>
      <c r="D7" s="8"/>
      <c r="E7" s="8"/>
      <c r="F7" s="8"/>
      <c r="G7" s="8"/>
      <c r="H7" s="8"/>
      <c r="I7" s="9"/>
      <c r="J7" s="9"/>
      <c r="K7" s="10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 x14ac:dyDescent="0.4">
      <c r="A8" s="8"/>
      <c r="B8" s="12" t="s">
        <v>1</v>
      </c>
      <c r="C8" s="13" t="s">
        <v>2</v>
      </c>
      <c r="D8" s="14"/>
      <c r="E8" s="14"/>
      <c r="F8" s="14"/>
      <c r="G8" s="14"/>
      <c r="H8" s="14"/>
      <c r="I8" s="14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2.75" customHeight="1" x14ac:dyDescent="0.3">
      <c r="A9" s="8"/>
      <c r="B9" s="8"/>
      <c r="C9" s="10"/>
      <c r="D9" s="8"/>
      <c r="E9" s="8"/>
      <c r="F9" s="8"/>
      <c r="G9" s="8"/>
      <c r="H9" s="8"/>
      <c r="I9" s="9"/>
      <c r="J9" s="9"/>
      <c r="K9" s="10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 x14ac:dyDescent="0.3">
      <c r="A10" s="8"/>
      <c r="B10" s="12" t="s">
        <v>3</v>
      </c>
      <c r="C10" s="16"/>
      <c r="D10" s="17"/>
      <c r="E10" s="8"/>
      <c r="F10" s="8"/>
      <c r="G10" s="8"/>
      <c r="H10" s="8"/>
      <c r="I10" s="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3">
      <c r="A11" s="8"/>
      <c r="B11" s="12" t="s">
        <v>4</v>
      </c>
      <c r="C11" s="16" t="s">
        <v>5</v>
      </c>
      <c r="D11" s="17"/>
      <c r="E11" s="8"/>
      <c r="F11" s="8"/>
      <c r="G11" s="8"/>
      <c r="H11" s="12" t="s">
        <v>6</v>
      </c>
      <c r="I11" s="18">
        <v>45944</v>
      </c>
      <c r="J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3">
      <c r="A12" s="8"/>
      <c r="B12" s="12" t="s">
        <v>7</v>
      </c>
      <c r="C12" s="16" t="s">
        <v>8</v>
      </c>
      <c r="D12" s="19"/>
      <c r="E12" s="8"/>
      <c r="F12" s="8"/>
      <c r="G12" s="8"/>
      <c r="H12" s="12" t="s">
        <v>9</v>
      </c>
      <c r="I12" s="20" t="s">
        <v>10</v>
      </c>
      <c r="J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C13" s="8"/>
      <c r="D13" s="8"/>
      <c r="E13" s="8"/>
      <c r="F13" s="8"/>
      <c r="G13" s="8"/>
      <c r="H13" s="8"/>
    </row>
    <row r="14" spans="1:26" ht="12.75" customHeight="1" x14ac:dyDescent="0.25">
      <c r="B14" s="12" t="s">
        <v>11</v>
      </c>
      <c r="C14" s="21"/>
      <c r="D14" s="17"/>
      <c r="E14" s="8"/>
      <c r="F14" s="8"/>
      <c r="G14" s="8"/>
      <c r="H14" s="8"/>
      <c r="I14" s="8"/>
    </row>
    <row r="15" spans="1:26" ht="12.75" customHeight="1" x14ac:dyDescent="0.25">
      <c r="C15" s="8"/>
      <c r="D15" s="8"/>
      <c r="E15" s="8"/>
      <c r="F15" s="8"/>
      <c r="G15" s="8"/>
      <c r="H15" s="8"/>
      <c r="I15" s="8"/>
    </row>
    <row r="17" spans="2:9" ht="12.5" x14ac:dyDescent="0.25">
      <c r="C17" s="22"/>
      <c r="I17" s="8"/>
    </row>
    <row r="18" spans="2:9" ht="12.75" customHeight="1" x14ac:dyDescent="0.25">
      <c r="C18" s="22"/>
    </row>
    <row r="19" spans="2:9" ht="12.75" customHeight="1" x14ac:dyDescent="0.25">
      <c r="C19" s="22"/>
      <c r="I19" s="23"/>
    </row>
    <row r="20" spans="2:9" ht="12.75" customHeight="1" x14ac:dyDescent="0.25">
      <c r="B20" s="12"/>
      <c r="C20" s="22"/>
    </row>
    <row r="22" spans="2:9" ht="12.75" customHeight="1" x14ac:dyDescent="0.25">
      <c r="I22" s="23"/>
    </row>
    <row r="25" spans="2:9" ht="12.75" customHeight="1" x14ac:dyDescent="0.25">
      <c r="I25" s="23"/>
    </row>
  </sheetData>
  <mergeCells count="1">
    <mergeCell ref="A5:J5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975"/>
  <sheetViews>
    <sheetView tabSelected="1" topLeftCell="A6" zoomScale="85" zoomScaleNormal="85" workbookViewId="0">
      <selection activeCell="N31" sqref="N31"/>
    </sheetView>
  </sheetViews>
  <sheetFormatPr defaultColWidth="15.90625" defaultRowHeight="12.75" customHeight="1" x14ac:dyDescent="0.25"/>
  <cols>
    <col min="1" max="1" width="14.453125" customWidth="1"/>
    <col min="2" max="9" width="6.90625" customWidth="1"/>
    <col min="10" max="13" width="7.453125" customWidth="1"/>
    <col min="16374" max="16384" width="11.54296875" customWidth="1"/>
  </cols>
  <sheetData>
    <row r="1" spans="1:13" ht="14.2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8.75" customHeight="1" x14ac:dyDescent="0.4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35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4.25" customHeight="1" x14ac:dyDescent="0.3">
      <c r="A5" s="24" t="s">
        <v>6</v>
      </c>
      <c r="B5" s="25"/>
      <c r="C5" s="26"/>
      <c r="D5" s="27"/>
      <c r="E5" s="27"/>
      <c r="F5" s="25"/>
      <c r="G5" s="25"/>
      <c r="H5" s="28"/>
      <c r="I5" s="26"/>
      <c r="J5" s="27" t="s">
        <v>3</v>
      </c>
      <c r="K5" s="25">
        <v>0</v>
      </c>
      <c r="L5" s="29"/>
      <c r="M5" s="30"/>
    </row>
    <row r="6" spans="1:13" ht="14.25" customHeight="1" x14ac:dyDescent="0.3">
      <c r="A6" s="31">
        <f>Deckbl.!I11</f>
        <v>45944</v>
      </c>
      <c r="B6" s="9"/>
      <c r="C6" s="8"/>
      <c r="D6" s="8"/>
      <c r="E6" s="9"/>
      <c r="F6" s="9"/>
      <c r="G6" s="9"/>
      <c r="H6" s="9"/>
      <c r="I6" s="8"/>
      <c r="J6" s="12" t="s">
        <v>9</v>
      </c>
      <c r="K6" s="32" t="str">
        <f>Deckbl.!I12</f>
        <v>9-14 ° sonnig</v>
      </c>
      <c r="L6" s="33"/>
      <c r="M6" s="34"/>
    </row>
    <row r="7" spans="1:13" ht="14.25" customHeight="1" x14ac:dyDescent="0.3">
      <c r="A7" s="35"/>
      <c r="B7" s="12" t="s">
        <v>14</v>
      </c>
      <c r="C7" s="36" t="str">
        <f>Deckbl.!C8</f>
        <v>B122 / Badhaller Straße / Holznerweg (Bad Hall)</v>
      </c>
      <c r="D7" s="33"/>
      <c r="E7" s="37"/>
      <c r="F7" s="37"/>
      <c r="G7" s="37"/>
      <c r="H7" s="37"/>
      <c r="I7" s="38"/>
      <c r="J7" s="36"/>
      <c r="K7" s="37"/>
      <c r="L7" s="37"/>
      <c r="M7" s="39"/>
    </row>
    <row r="8" spans="1:13" ht="14.25" customHeight="1" x14ac:dyDescent="0.3">
      <c r="A8" s="35"/>
      <c r="B8" s="12" t="s">
        <v>15</v>
      </c>
      <c r="C8" s="33"/>
      <c r="D8" s="33"/>
      <c r="E8" s="37"/>
      <c r="F8" s="37"/>
      <c r="G8" s="37"/>
      <c r="H8" s="37"/>
      <c r="I8" s="38" t="s">
        <v>7</v>
      </c>
      <c r="J8" s="36" t="s">
        <v>16</v>
      </c>
      <c r="K8" s="40"/>
      <c r="L8" s="37"/>
      <c r="M8" s="39"/>
    </row>
    <row r="9" spans="1:13" ht="14.25" customHeight="1" x14ac:dyDescent="0.3">
      <c r="A9" s="35"/>
      <c r="B9" s="12" t="s">
        <v>17</v>
      </c>
      <c r="C9" s="41" t="s">
        <v>18</v>
      </c>
      <c r="D9" s="8"/>
      <c r="E9" s="9"/>
      <c r="F9" s="9"/>
      <c r="G9" s="9"/>
      <c r="H9" s="9"/>
      <c r="I9" s="12" t="s">
        <v>19</v>
      </c>
      <c r="J9" s="36" t="str">
        <f>Deckbl.!C11</f>
        <v>7-19 Uhr</v>
      </c>
      <c r="K9" s="37"/>
      <c r="L9" s="37"/>
      <c r="M9" s="39"/>
    </row>
    <row r="10" spans="1:13" ht="14.25" customHeight="1" x14ac:dyDescent="0.3">
      <c r="A10" s="35"/>
      <c r="B10" s="38" t="s">
        <v>20</v>
      </c>
      <c r="C10" s="42"/>
      <c r="D10" s="33"/>
      <c r="E10" s="37"/>
      <c r="F10" s="37"/>
      <c r="G10" s="37"/>
      <c r="H10" s="37"/>
      <c r="I10" s="38"/>
      <c r="J10" s="36"/>
      <c r="K10" s="37"/>
      <c r="L10" s="36"/>
      <c r="M10" s="39"/>
    </row>
    <row r="11" spans="1:13" ht="14.25" customHeight="1" x14ac:dyDescent="0.25">
      <c r="A11" s="43" t="s">
        <v>21</v>
      </c>
      <c r="B11" s="44">
        <v>0.3</v>
      </c>
      <c r="C11" s="44">
        <v>0.5</v>
      </c>
      <c r="D11" s="44">
        <v>1</v>
      </c>
      <c r="E11" s="44">
        <v>2</v>
      </c>
      <c r="F11" s="44">
        <v>2</v>
      </c>
      <c r="G11" s="44">
        <v>2</v>
      </c>
      <c r="H11" s="44">
        <v>3</v>
      </c>
      <c r="I11" s="44">
        <v>2</v>
      </c>
      <c r="J11" s="45"/>
      <c r="K11" s="45"/>
      <c r="L11" s="45"/>
      <c r="M11" s="45"/>
    </row>
    <row r="12" spans="1:13" ht="14.25" customHeight="1" x14ac:dyDescent="0.25">
      <c r="A12" s="46"/>
      <c r="B12" s="24"/>
      <c r="C12" s="47" t="s">
        <v>22</v>
      </c>
      <c r="D12" s="24" t="s">
        <v>23</v>
      </c>
      <c r="E12" s="47" t="s">
        <v>24</v>
      </c>
      <c r="F12" s="47" t="s">
        <v>25</v>
      </c>
      <c r="G12" s="24" t="s">
        <v>26</v>
      </c>
      <c r="H12" s="47" t="s">
        <v>27</v>
      </c>
      <c r="I12" s="47" t="s">
        <v>28</v>
      </c>
      <c r="J12" s="48" t="s">
        <v>29</v>
      </c>
      <c r="K12" s="48" t="s">
        <v>29</v>
      </c>
      <c r="L12" s="48" t="s">
        <v>29</v>
      </c>
      <c r="M12" s="48" t="s">
        <v>30</v>
      </c>
    </row>
    <row r="13" spans="1:13" ht="14.25" customHeight="1" x14ac:dyDescent="0.25">
      <c r="A13" s="49" t="s">
        <v>31</v>
      </c>
      <c r="B13" s="47" t="s">
        <v>32</v>
      </c>
      <c r="C13" s="47" t="s">
        <v>30</v>
      </c>
      <c r="D13" s="47" t="s">
        <v>33</v>
      </c>
      <c r="E13" s="47" t="s">
        <v>34</v>
      </c>
      <c r="F13" s="47" t="s">
        <v>34</v>
      </c>
      <c r="G13" s="47"/>
      <c r="H13" s="47" t="s">
        <v>35</v>
      </c>
      <c r="I13" s="47" t="s">
        <v>36</v>
      </c>
      <c r="J13" s="48" t="s">
        <v>37</v>
      </c>
      <c r="K13" s="48" t="s">
        <v>38</v>
      </c>
      <c r="L13" s="48" t="s">
        <v>39</v>
      </c>
      <c r="M13" s="48" t="s">
        <v>39</v>
      </c>
    </row>
    <row r="14" spans="1:13" ht="14.25" customHeight="1" x14ac:dyDescent="0.25">
      <c r="A14" s="50" t="s">
        <v>40</v>
      </c>
      <c r="B14" s="51"/>
      <c r="C14" s="51"/>
      <c r="D14" s="51"/>
      <c r="E14" s="51"/>
      <c r="F14" s="51"/>
      <c r="G14" s="51"/>
      <c r="H14" s="51"/>
      <c r="I14" s="51"/>
      <c r="J14" s="52">
        <f t="shared" ref="J14:J45" si="0">SUMPRODUCT(B14:I14,$B$11:$I$11)</f>
        <v>0</v>
      </c>
      <c r="K14" s="53"/>
      <c r="L14" s="53"/>
      <c r="M14" s="53"/>
    </row>
    <row r="15" spans="1:13" ht="14.25" customHeight="1" x14ac:dyDescent="0.25">
      <c r="A15" s="50" t="s">
        <v>41</v>
      </c>
      <c r="B15" s="51"/>
      <c r="C15" s="51"/>
      <c r="D15" s="51"/>
      <c r="E15" s="51"/>
      <c r="F15" s="51"/>
      <c r="G15" s="51"/>
      <c r="H15" s="51"/>
      <c r="I15" s="51"/>
      <c r="J15" s="52">
        <f t="shared" si="0"/>
        <v>0</v>
      </c>
      <c r="K15" s="54">
        <f>J15+J14</f>
        <v>0</v>
      </c>
      <c r="L15" s="55"/>
      <c r="M15" s="55"/>
    </row>
    <row r="16" spans="1:13" ht="14.25" customHeight="1" x14ac:dyDescent="0.25">
      <c r="A16" s="50" t="s">
        <v>42</v>
      </c>
      <c r="B16" s="51"/>
      <c r="C16" s="51"/>
      <c r="D16" s="51"/>
      <c r="E16" s="51"/>
      <c r="F16" s="51"/>
      <c r="G16" s="51"/>
      <c r="H16" s="51"/>
      <c r="I16" s="51"/>
      <c r="J16" s="52">
        <f t="shared" si="0"/>
        <v>0</v>
      </c>
      <c r="K16" s="53"/>
      <c r="L16" s="54"/>
      <c r="M16" s="54"/>
    </row>
    <row r="17" spans="1:13" ht="14.25" customHeight="1" x14ac:dyDescent="0.25">
      <c r="A17" s="50" t="s">
        <v>43</v>
      </c>
      <c r="B17" s="51"/>
      <c r="C17" s="51"/>
      <c r="D17" s="51"/>
      <c r="E17" s="51"/>
      <c r="F17" s="51"/>
      <c r="G17" s="51"/>
      <c r="H17" s="51"/>
      <c r="I17" s="51"/>
      <c r="J17" s="52">
        <f t="shared" si="0"/>
        <v>0</v>
      </c>
      <c r="K17" s="54">
        <f>J17+J16</f>
        <v>0</v>
      </c>
      <c r="L17" s="54">
        <f>SUM(J14:J17)</f>
        <v>0</v>
      </c>
      <c r="M17" s="54">
        <f>SUM(C14:I17)</f>
        <v>0</v>
      </c>
    </row>
    <row r="18" spans="1:13" ht="14.25" customHeight="1" x14ac:dyDescent="0.25">
      <c r="A18" s="50" t="s">
        <v>44</v>
      </c>
      <c r="B18" s="51"/>
      <c r="C18" s="51"/>
      <c r="D18" s="51"/>
      <c r="E18" s="51"/>
      <c r="F18" s="51"/>
      <c r="G18" s="51"/>
      <c r="H18" s="51"/>
      <c r="I18" s="51"/>
      <c r="J18" s="52">
        <f t="shared" si="0"/>
        <v>0</v>
      </c>
      <c r="K18" s="53"/>
      <c r="L18" s="53"/>
      <c r="M18" s="53"/>
    </row>
    <row r="19" spans="1:13" ht="14.25" customHeight="1" x14ac:dyDescent="0.25">
      <c r="A19" s="50" t="s">
        <v>45</v>
      </c>
      <c r="B19" s="51"/>
      <c r="C19" s="51"/>
      <c r="D19" s="51"/>
      <c r="E19" s="51"/>
      <c r="F19" s="51"/>
      <c r="G19" s="51"/>
      <c r="H19" s="51"/>
      <c r="I19" s="51"/>
      <c r="J19" s="52">
        <f t="shared" si="0"/>
        <v>0</v>
      </c>
      <c r="K19" s="54">
        <f>J19+J18</f>
        <v>0</v>
      </c>
      <c r="L19" s="55"/>
      <c r="M19" s="55"/>
    </row>
    <row r="20" spans="1:13" ht="14.25" customHeight="1" x14ac:dyDescent="0.25">
      <c r="A20" s="50" t="s">
        <v>46</v>
      </c>
      <c r="B20" s="51"/>
      <c r="C20" s="51"/>
      <c r="D20" s="51"/>
      <c r="E20" s="51"/>
      <c r="F20" s="51"/>
      <c r="G20" s="51"/>
      <c r="H20" s="51"/>
      <c r="I20" s="51"/>
      <c r="J20" s="52">
        <f t="shared" si="0"/>
        <v>0</v>
      </c>
      <c r="K20" s="53"/>
      <c r="L20" s="54"/>
      <c r="M20" s="54"/>
    </row>
    <row r="21" spans="1:13" ht="14.25" customHeight="1" x14ac:dyDescent="0.25">
      <c r="A21" s="50" t="s">
        <v>47</v>
      </c>
      <c r="B21" s="51"/>
      <c r="C21" s="51"/>
      <c r="D21" s="51"/>
      <c r="E21" s="51"/>
      <c r="F21" s="51"/>
      <c r="G21" s="51"/>
      <c r="H21" s="51"/>
      <c r="I21" s="51"/>
      <c r="J21" s="52">
        <f t="shared" si="0"/>
        <v>0</v>
      </c>
      <c r="K21" s="54">
        <f>J21+J20</f>
        <v>0</v>
      </c>
      <c r="L21" s="54">
        <f>SUM(J18:J21)</f>
        <v>0</v>
      </c>
      <c r="M21" s="54">
        <f>SUM(C18:I21)</f>
        <v>0</v>
      </c>
    </row>
    <row r="22" spans="1:13" ht="14.25" customHeight="1" x14ac:dyDescent="0.25">
      <c r="A22" s="50" t="s">
        <v>48</v>
      </c>
      <c r="B22" s="56">
        <v>0</v>
      </c>
      <c r="C22" s="56">
        <v>0</v>
      </c>
      <c r="D22" s="56">
        <v>6</v>
      </c>
      <c r="E22" s="56">
        <v>0</v>
      </c>
      <c r="F22" s="56">
        <v>0</v>
      </c>
      <c r="G22" s="56">
        <v>0</v>
      </c>
      <c r="H22" s="56">
        <v>0</v>
      </c>
      <c r="I22" s="56">
        <v>0</v>
      </c>
      <c r="J22" s="52">
        <f t="shared" si="0"/>
        <v>6</v>
      </c>
      <c r="K22" s="53"/>
      <c r="L22" s="53"/>
      <c r="M22" s="53"/>
    </row>
    <row r="23" spans="1:13" ht="14.25" customHeight="1" x14ac:dyDescent="0.25">
      <c r="A23" s="50" t="s">
        <v>49</v>
      </c>
      <c r="B23" s="56">
        <v>0</v>
      </c>
      <c r="C23" s="56">
        <v>0</v>
      </c>
      <c r="D23" s="56">
        <v>4</v>
      </c>
      <c r="E23" s="56">
        <v>0</v>
      </c>
      <c r="F23" s="56">
        <v>0</v>
      </c>
      <c r="G23" s="56">
        <v>0</v>
      </c>
      <c r="H23" s="56">
        <v>0</v>
      </c>
      <c r="I23" s="56">
        <v>0</v>
      </c>
      <c r="J23" s="52">
        <f t="shared" si="0"/>
        <v>4</v>
      </c>
      <c r="K23" s="54">
        <f>J23+J22</f>
        <v>10</v>
      </c>
      <c r="L23" s="55"/>
      <c r="M23" s="55"/>
    </row>
    <row r="24" spans="1:13" ht="14.25" customHeight="1" x14ac:dyDescent="0.25">
      <c r="A24" s="50" t="s">
        <v>50</v>
      </c>
      <c r="B24" s="56">
        <v>0</v>
      </c>
      <c r="C24" s="56">
        <v>0</v>
      </c>
      <c r="D24" s="56">
        <v>9</v>
      </c>
      <c r="E24" s="56">
        <v>1</v>
      </c>
      <c r="F24" s="56">
        <v>0</v>
      </c>
      <c r="G24" s="56">
        <v>1</v>
      </c>
      <c r="H24" s="56">
        <v>0</v>
      </c>
      <c r="I24" s="56">
        <v>0</v>
      </c>
      <c r="J24" s="52">
        <f t="shared" si="0"/>
        <v>13</v>
      </c>
      <c r="K24" s="53"/>
      <c r="L24" s="54"/>
      <c r="M24" s="54"/>
    </row>
    <row r="25" spans="1:13" ht="14.25" customHeight="1" x14ac:dyDescent="0.25">
      <c r="A25" s="50" t="s">
        <v>51</v>
      </c>
      <c r="B25" s="56">
        <v>0</v>
      </c>
      <c r="C25" s="56">
        <v>0</v>
      </c>
      <c r="D25" s="56">
        <v>9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2">
        <f t="shared" si="0"/>
        <v>9</v>
      </c>
      <c r="K25" s="54">
        <f>J25+J24</f>
        <v>22</v>
      </c>
      <c r="L25" s="54">
        <f>SUM(J22:J25)</f>
        <v>32</v>
      </c>
      <c r="M25" s="54">
        <f>SUM(C22:I25)</f>
        <v>30</v>
      </c>
    </row>
    <row r="26" spans="1:13" ht="14.25" customHeight="1" x14ac:dyDescent="0.25">
      <c r="A26" s="50" t="s">
        <v>52</v>
      </c>
      <c r="B26" s="56">
        <v>0</v>
      </c>
      <c r="C26" s="56">
        <v>0</v>
      </c>
      <c r="D26" s="56">
        <v>4</v>
      </c>
      <c r="E26" s="56">
        <v>0</v>
      </c>
      <c r="F26" s="56">
        <v>0</v>
      </c>
      <c r="G26" s="56">
        <v>0</v>
      </c>
      <c r="H26" s="56">
        <v>0</v>
      </c>
      <c r="I26" s="56">
        <v>0</v>
      </c>
      <c r="J26" s="52">
        <f t="shared" si="0"/>
        <v>4</v>
      </c>
      <c r="K26" s="53"/>
      <c r="L26" s="53"/>
      <c r="M26" s="53"/>
    </row>
    <row r="27" spans="1:13" ht="14.25" customHeight="1" x14ac:dyDescent="0.25">
      <c r="A27" s="50" t="s">
        <v>53</v>
      </c>
      <c r="B27" s="56">
        <v>0</v>
      </c>
      <c r="C27" s="56">
        <v>0</v>
      </c>
      <c r="D27" s="56">
        <v>4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52">
        <f t="shared" si="0"/>
        <v>4</v>
      </c>
      <c r="K27" s="54">
        <f>J27+J26</f>
        <v>8</v>
      </c>
      <c r="L27" s="55"/>
      <c r="M27" s="55"/>
    </row>
    <row r="28" spans="1:13" ht="14.25" customHeight="1" x14ac:dyDescent="0.25">
      <c r="A28" s="50" t="s">
        <v>54</v>
      </c>
      <c r="B28" s="56">
        <v>0</v>
      </c>
      <c r="C28" s="56">
        <v>0</v>
      </c>
      <c r="D28" s="56">
        <v>10</v>
      </c>
      <c r="E28" s="56">
        <v>0</v>
      </c>
      <c r="F28" s="56">
        <v>0</v>
      </c>
      <c r="G28" s="56">
        <v>0</v>
      </c>
      <c r="H28" s="56">
        <v>0</v>
      </c>
      <c r="I28" s="56">
        <v>0</v>
      </c>
      <c r="J28" s="52">
        <f t="shared" si="0"/>
        <v>10</v>
      </c>
      <c r="K28" s="53"/>
      <c r="L28" s="54"/>
      <c r="M28" s="54"/>
    </row>
    <row r="29" spans="1:13" ht="14.25" customHeight="1" x14ac:dyDescent="0.25">
      <c r="A29" s="50" t="s">
        <v>55</v>
      </c>
      <c r="B29" s="56">
        <v>0</v>
      </c>
      <c r="C29" s="56">
        <v>0</v>
      </c>
      <c r="D29" s="56">
        <v>13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52">
        <f t="shared" si="0"/>
        <v>13</v>
      </c>
      <c r="K29" s="54">
        <f>J29+J28</f>
        <v>23</v>
      </c>
      <c r="L29" s="54">
        <f>SUM(J26:J29)</f>
        <v>31</v>
      </c>
      <c r="M29" s="54">
        <f>SUM(C26:I29)</f>
        <v>31</v>
      </c>
    </row>
    <row r="30" spans="1:13" ht="14.25" customHeight="1" x14ac:dyDescent="0.25">
      <c r="A30" s="50" t="s">
        <v>56</v>
      </c>
      <c r="B30" s="56">
        <v>0</v>
      </c>
      <c r="C30" s="56">
        <v>0</v>
      </c>
      <c r="D30" s="56">
        <v>9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2">
        <f t="shared" si="0"/>
        <v>9</v>
      </c>
      <c r="K30" s="53"/>
      <c r="L30" s="53"/>
      <c r="M30" s="53"/>
    </row>
    <row r="31" spans="1:13" ht="14.25" customHeight="1" x14ac:dyDescent="0.25">
      <c r="A31" s="50" t="s">
        <v>57</v>
      </c>
      <c r="B31" s="56">
        <v>0</v>
      </c>
      <c r="C31" s="56">
        <v>0</v>
      </c>
      <c r="D31" s="56">
        <v>11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2">
        <f t="shared" si="0"/>
        <v>11</v>
      </c>
      <c r="K31" s="54">
        <f>J31+J30</f>
        <v>20</v>
      </c>
      <c r="L31" s="55"/>
      <c r="M31" s="55"/>
    </row>
    <row r="32" spans="1:13" ht="14.25" customHeight="1" x14ac:dyDescent="0.25">
      <c r="A32" s="50" t="s">
        <v>58</v>
      </c>
      <c r="B32" s="56">
        <v>0</v>
      </c>
      <c r="C32" s="56">
        <v>0</v>
      </c>
      <c r="D32" s="56">
        <v>10</v>
      </c>
      <c r="E32" s="56">
        <v>0</v>
      </c>
      <c r="F32" s="56">
        <v>0</v>
      </c>
      <c r="G32" s="56">
        <v>1</v>
      </c>
      <c r="H32" s="56">
        <v>0</v>
      </c>
      <c r="I32" s="56">
        <v>0</v>
      </c>
      <c r="J32" s="52">
        <f t="shared" si="0"/>
        <v>12</v>
      </c>
      <c r="K32" s="53"/>
      <c r="L32" s="54"/>
      <c r="M32" s="54"/>
    </row>
    <row r="33" spans="1:13" ht="14.25" customHeight="1" x14ac:dyDescent="0.25">
      <c r="A33" s="50" t="s">
        <v>59</v>
      </c>
      <c r="B33" s="56">
        <v>0</v>
      </c>
      <c r="C33" s="56">
        <v>0</v>
      </c>
      <c r="D33" s="56">
        <v>11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2">
        <f t="shared" si="0"/>
        <v>11</v>
      </c>
      <c r="K33" s="54">
        <f>J33+J32</f>
        <v>23</v>
      </c>
      <c r="L33" s="54">
        <f>SUM(J30:J33)</f>
        <v>43</v>
      </c>
      <c r="M33" s="54">
        <f>SUM(C30:I33)</f>
        <v>42</v>
      </c>
    </row>
    <row r="34" spans="1:13" ht="14.25" customHeight="1" x14ac:dyDescent="0.25">
      <c r="A34" s="50" t="s">
        <v>60</v>
      </c>
      <c r="B34" s="56">
        <v>0</v>
      </c>
      <c r="C34" s="56">
        <v>0</v>
      </c>
      <c r="D34" s="56">
        <v>14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2">
        <f t="shared" si="0"/>
        <v>14</v>
      </c>
      <c r="K34" s="53"/>
      <c r="L34" s="53"/>
      <c r="M34" s="53"/>
    </row>
    <row r="35" spans="1:13" ht="14.25" customHeight="1" x14ac:dyDescent="0.25">
      <c r="A35" s="50" t="s">
        <v>61</v>
      </c>
      <c r="B35" s="56">
        <v>0</v>
      </c>
      <c r="C35" s="56">
        <v>0</v>
      </c>
      <c r="D35" s="56">
        <v>10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2">
        <f t="shared" si="0"/>
        <v>10</v>
      </c>
      <c r="K35" s="54">
        <f>J35+J34</f>
        <v>24</v>
      </c>
      <c r="L35" s="55"/>
      <c r="M35" s="55"/>
    </row>
    <row r="36" spans="1:13" ht="14.25" customHeight="1" x14ac:dyDescent="0.25">
      <c r="A36" s="50" t="s">
        <v>62</v>
      </c>
      <c r="B36" s="56">
        <v>0</v>
      </c>
      <c r="C36" s="56">
        <v>0</v>
      </c>
      <c r="D36" s="56">
        <v>0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2">
        <f t="shared" si="0"/>
        <v>0</v>
      </c>
      <c r="K36" s="53"/>
      <c r="L36" s="54"/>
      <c r="M36" s="54"/>
    </row>
    <row r="37" spans="1:13" ht="14.25" customHeight="1" x14ac:dyDescent="0.25">
      <c r="A37" s="50" t="s">
        <v>63</v>
      </c>
      <c r="B37" s="56">
        <v>0</v>
      </c>
      <c r="C37" s="56">
        <v>0</v>
      </c>
      <c r="D37" s="56">
        <v>4</v>
      </c>
      <c r="E37" s="56">
        <v>0</v>
      </c>
      <c r="F37" s="56">
        <v>0</v>
      </c>
      <c r="G37" s="56">
        <v>0</v>
      </c>
      <c r="H37" s="56">
        <v>0</v>
      </c>
      <c r="I37" s="56">
        <v>1</v>
      </c>
      <c r="J37" s="52">
        <f t="shared" si="0"/>
        <v>6</v>
      </c>
      <c r="K37" s="54">
        <f>J37+J36</f>
        <v>6</v>
      </c>
      <c r="L37" s="54">
        <f>SUM(J34:J37)</f>
        <v>30</v>
      </c>
      <c r="M37" s="54">
        <f>SUM(C34:I37)</f>
        <v>29</v>
      </c>
    </row>
    <row r="38" spans="1:13" ht="14.25" customHeight="1" x14ac:dyDescent="0.25">
      <c r="A38" s="50" t="s">
        <v>64</v>
      </c>
      <c r="B38" s="56">
        <v>0</v>
      </c>
      <c r="C38" s="56">
        <v>0</v>
      </c>
      <c r="D38" s="56">
        <v>10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2">
        <f t="shared" si="0"/>
        <v>10</v>
      </c>
      <c r="K38" s="53"/>
      <c r="L38" s="53"/>
      <c r="M38" s="53"/>
    </row>
    <row r="39" spans="1:13" ht="14.25" customHeight="1" x14ac:dyDescent="0.25">
      <c r="A39" s="50" t="s">
        <v>65</v>
      </c>
      <c r="B39" s="56">
        <v>0</v>
      </c>
      <c r="C39" s="56">
        <v>0</v>
      </c>
      <c r="D39" s="56">
        <v>5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2">
        <f t="shared" si="0"/>
        <v>5</v>
      </c>
      <c r="K39" s="54">
        <f>J39+J38</f>
        <v>15</v>
      </c>
      <c r="L39" s="55"/>
      <c r="M39" s="55"/>
    </row>
    <row r="40" spans="1:13" ht="14.25" customHeight="1" x14ac:dyDescent="0.25">
      <c r="A40" s="50" t="s">
        <v>66</v>
      </c>
      <c r="B40" s="56">
        <v>0</v>
      </c>
      <c r="C40" s="56">
        <v>0</v>
      </c>
      <c r="D40" s="56">
        <v>5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2">
        <f t="shared" si="0"/>
        <v>5</v>
      </c>
      <c r="K40" s="53"/>
      <c r="L40" s="54"/>
      <c r="M40" s="54"/>
    </row>
    <row r="41" spans="1:13" ht="14.25" customHeight="1" x14ac:dyDescent="0.25">
      <c r="A41" s="50" t="s">
        <v>67</v>
      </c>
      <c r="B41" s="56">
        <v>0</v>
      </c>
      <c r="C41" s="56">
        <v>1</v>
      </c>
      <c r="D41" s="56">
        <v>8</v>
      </c>
      <c r="E41" s="56">
        <v>0</v>
      </c>
      <c r="F41" s="56">
        <v>0</v>
      </c>
      <c r="G41" s="56">
        <v>0</v>
      </c>
      <c r="H41" s="56">
        <v>0</v>
      </c>
      <c r="I41" s="56">
        <v>1</v>
      </c>
      <c r="J41" s="52">
        <f t="shared" si="0"/>
        <v>10.5</v>
      </c>
      <c r="K41" s="54">
        <f>J41+J40</f>
        <v>15.5</v>
      </c>
      <c r="L41" s="54">
        <f>SUM(J38:J41)</f>
        <v>30.5</v>
      </c>
      <c r="M41" s="54">
        <f>SUM(C38:I41)</f>
        <v>30</v>
      </c>
    </row>
    <row r="42" spans="1:13" ht="14.25" customHeight="1" x14ac:dyDescent="0.25">
      <c r="A42" s="50" t="s">
        <v>68</v>
      </c>
      <c r="B42" s="56">
        <v>0</v>
      </c>
      <c r="C42" s="56">
        <v>0</v>
      </c>
      <c r="D42" s="56">
        <v>7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2">
        <f t="shared" si="0"/>
        <v>7</v>
      </c>
      <c r="K42" s="53"/>
      <c r="L42" s="53"/>
      <c r="M42" s="53"/>
    </row>
    <row r="43" spans="1:13" ht="14.25" customHeight="1" x14ac:dyDescent="0.25">
      <c r="A43" s="50" t="s">
        <v>69</v>
      </c>
      <c r="B43" s="56">
        <v>0</v>
      </c>
      <c r="C43" s="56">
        <v>0</v>
      </c>
      <c r="D43" s="56">
        <v>3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2">
        <f t="shared" si="0"/>
        <v>3</v>
      </c>
      <c r="K43" s="54">
        <f>J43+J42</f>
        <v>10</v>
      </c>
      <c r="L43" s="55"/>
      <c r="M43" s="55"/>
    </row>
    <row r="44" spans="1:13" ht="14.25" customHeight="1" x14ac:dyDescent="0.25">
      <c r="A44" s="50" t="s">
        <v>70</v>
      </c>
      <c r="B44" s="56">
        <v>0</v>
      </c>
      <c r="C44" s="56">
        <v>0</v>
      </c>
      <c r="D44" s="56">
        <v>1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2">
        <f t="shared" si="0"/>
        <v>1</v>
      </c>
      <c r="K44" s="53"/>
      <c r="L44" s="54"/>
      <c r="M44" s="54"/>
    </row>
    <row r="45" spans="1:13" ht="14.25" customHeight="1" x14ac:dyDescent="0.25">
      <c r="A45" s="50" t="s">
        <v>71</v>
      </c>
      <c r="B45" s="56">
        <v>0</v>
      </c>
      <c r="C45" s="56">
        <v>0</v>
      </c>
      <c r="D45" s="56">
        <v>7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2">
        <f t="shared" si="0"/>
        <v>7</v>
      </c>
      <c r="K45" s="54">
        <f>J45+J44</f>
        <v>8</v>
      </c>
      <c r="L45" s="54">
        <f>SUM(J42:J45)</f>
        <v>18</v>
      </c>
      <c r="M45" s="54">
        <f>SUM(C42:I45)</f>
        <v>18</v>
      </c>
    </row>
    <row r="46" spans="1:13" ht="14.25" customHeight="1" x14ac:dyDescent="0.25">
      <c r="A46" s="50" t="s">
        <v>72</v>
      </c>
      <c r="B46" s="56">
        <v>0</v>
      </c>
      <c r="C46" s="56">
        <v>0</v>
      </c>
      <c r="D46" s="56">
        <v>7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2">
        <f t="shared" ref="J46:J77" si="1">SUMPRODUCT(B46:I46,$B$11:$I$11)</f>
        <v>7</v>
      </c>
      <c r="K46" s="53"/>
      <c r="L46" s="53"/>
      <c r="M46" s="53"/>
    </row>
    <row r="47" spans="1:13" ht="14.25" customHeight="1" x14ac:dyDescent="0.25">
      <c r="A47" s="50" t="s">
        <v>73</v>
      </c>
      <c r="B47" s="56">
        <v>0</v>
      </c>
      <c r="C47" s="56">
        <v>0</v>
      </c>
      <c r="D47" s="56">
        <v>8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2">
        <f t="shared" si="1"/>
        <v>8</v>
      </c>
      <c r="K47" s="54">
        <f>J47+J46</f>
        <v>15</v>
      </c>
      <c r="L47" s="55"/>
      <c r="M47" s="55"/>
    </row>
    <row r="48" spans="1:13" ht="14.25" customHeight="1" x14ac:dyDescent="0.25">
      <c r="A48" s="50" t="s">
        <v>74</v>
      </c>
      <c r="B48" s="56">
        <v>0</v>
      </c>
      <c r="C48" s="56">
        <v>0</v>
      </c>
      <c r="D48" s="56">
        <v>10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2">
        <f t="shared" si="1"/>
        <v>10</v>
      </c>
      <c r="K48" s="53"/>
      <c r="L48" s="54"/>
      <c r="M48" s="54"/>
    </row>
    <row r="49" spans="1:13" ht="14.25" customHeight="1" x14ac:dyDescent="0.25">
      <c r="A49" s="50" t="s">
        <v>75</v>
      </c>
      <c r="B49" s="56">
        <v>0</v>
      </c>
      <c r="C49" s="56">
        <v>0</v>
      </c>
      <c r="D49" s="56">
        <v>8</v>
      </c>
      <c r="E49" s="56">
        <v>0</v>
      </c>
      <c r="F49" s="56">
        <v>0</v>
      </c>
      <c r="G49" s="56">
        <v>0</v>
      </c>
      <c r="H49" s="56">
        <v>0</v>
      </c>
      <c r="I49" s="56">
        <v>0</v>
      </c>
      <c r="J49" s="52">
        <f t="shared" si="1"/>
        <v>8</v>
      </c>
      <c r="K49" s="54">
        <f>J49+J48</f>
        <v>18</v>
      </c>
      <c r="L49" s="54">
        <f>SUM(J46:J49)</f>
        <v>33</v>
      </c>
      <c r="M49" s="54">
        <f>SUM(C46:I49)</f>
        <v>33</v>
      </c>
    </row>
    <row r="50" spans="1:13" ht="14.25" customHeight="1" x14ac:dyDescent="0.25">
      <c r="A50" s="50" t="s">
        <v>76</v>
      </c>
      <c r="B50" s="56">
        <v>0</v>
      </c>
      <c r="C50" s="56">
        <v>0</v>
      </c>
      <c r="D50" s="56">
        <v>15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2">
        <f t="shared" si="1"/>
        <v>15</v>
      </c>
      <c r="K50" s="53"/>
      <c r="L50" s="53"/>
      <c r="M50" s="53"/>
    </row>
    <row r="51" spans="1:13" ht="14.25" customHeight="1" x14ac:dyDescent="0.25">
      <c r="A51" s="50" t="s">
        <v>77</v>
      </c>
      <c r="B51" s="56">
        <v>0</v>
      </c>
      <c r="C51" s="56">
        <v>0</v>
      </c>
      <c r="D51" s="56">
        <v>5</v>
      </c>
      <c r="E51" s="56">
        <v>0</v>
      </c>
      <c r="F51" s="56">
        <v>0</v>
      </c>
      <c r="G51" s="56">
        <v>0</v>
      </c>
      <c r="H51" s="56">
        <v>0</v>
      </c>
      <c r="I51" s="56">
        <v>0</v>
      </c>
      <c r="J51" s="52">
        <f t="shared" si="1"/>
        <v>5</v>
      </c>
      <c r="K51" s="54">
        <f>J51+J50</f>
        <v>20</v>
      </c>
      <c r="L51" s="55"/>
      <c r="M51" s="55"/>
    </row>
    <row r="52" spans="1:13" ht="14.25" customHeight="1" x14ac:dyDescent="0.25">
      <c r="A52" s="50" t="s">
        <v>78</v>
      </c>
      <c r="B52" s="56">
        <v>0</v>
      </c>
      <c r="C52" s="56">
        <v>0</v>
      </c>
      <c r="D52" s="56">
        <v>9</v>
      </c>
      <c r="E52" s="56">
        <v>0</v>
      </c>
      <c r="F52" s="56">
        <v>0</v>
      </c>
      <c r="G52" s="56">
        <v>0</v>
      </c>
      <c r="H52" s="56">
        <v>0</v>
      </c>
      <c r="I52" s="56">
        <v>0</v>
      </c>
      <c r="J52" s="52">
        <f t="shared" si="1"/>
        <v>9</v>
      </c>
      <c r="K52" s="53"/>
      <c r="L52" s="54"/>
      <c r="M52" s="54"/>
    </row>
    <row r="53" spans="1:13" ht="14.25" customHeight="1" x14ac:dyDescent="0.25">
      <c r="A53" s="50" t="s">
        <v>79</v>
      </c>
      <c r="B53" s="56">
        <v>0</v>
      </c>
      <c r="C53" s="56">
        <v>0</v>
      </c>
      <c r="D53" s="56">
        <v>9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2">
        <f t="shared" si="1"/>
        <v>9</v>
      </c>
      <c r="K53" s="54">
        <f>J53+J52</f>
        <v>18</v>
      </c>
      <c r="L53" s="54">
        <f>SUM(J50:J53)</f>
        <v>38</v>
      </c>
      <c r="M53" s="54">
        <f>SUM(C50:I53)</f>
        <v>38</v>
      </c>
    </row>
    <row r="54" spans="1:13" ht="14.25" customHeight="1" x14ac:dyDescent="0.25">
      <c r="A54" s="50" t="s">
        <v>80</v>
      </c>
      <c r="B54" s="56">
        <v>0</v>
      </c>
      <c r="C54" s="56">
        <v>0</v>
      </c>
      <c r="D54" s="56">
        <v>8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2">
        <f t="shared" si="1"/>
        <v>8</v>
      </c>
      <c r="K54" s="53"/>
      <c r="L54" s="53"/>
      <c r="M54" s="53"/>
    </row>
    <row r="55" spans="1:13" ht="14.25" customHeight="1" x14ac:dyDescent="0.25">
      <c r="A55" s="50" t="s">
        <v>81</v>
      </c>
      <c r="B55" s="56">
        <v>0</v>
      </c>
      <c r="C55" s="56">
        <v>0</v>
      </c>
      <c r="D55" s="56">
        <v>8</v>
      </c>
      <c r="E55" s="56">
        <v>0</v>
      </c>
      <c r="F55" s="56">
        <v>0</v>
      </c>
      <c r="G55" s="56">
        <v>0</v>
      </c>
      <c r="H55" s="56">
        <v>0</v>
      </c>
      <c r="I55" s="56">
        <v>0</v>
      </c>
      <c r="J55" s="52">
        <f t="shared" si="1"/>
        <v>8</v>
      </c>
      <c r="K55" s="54">
        <f>J55+J54</f>
        <v>16</v>
      </c>
      <c r="L55" s="55"/>
      <c r="M55" s="55"/>
    </row>
    <row r="56" spans="1:13" ht="14.25" customHeight="1" x14ac:dyDescent="0.25">
      <c r="A56" s="50" t="s">
        <v>82</v>
      </c>
      <c r="B56" s="56">
        <v>0</v>
      </c>
      <c r="C56" s="56">
        <v>2</v>
      </c>
      <c r="D56" s="56">
        <v>4</v>
      </c>
      <c r="E56" s="56">
        <v>0</v>
      </c>
      <c r="F56" s="56">
        <v>0</v>
      </c>
      <c r="G56" s="56">
        <v>0</v>
      </c>
      <c r="H56" s="56">
        <v>0</v>
      </c>
      <c r="I56" s="56">
        <v>0</v>
      </c>
      <c r="J56" s="52">
        <f t="shared" si="1"/>
        <v>5</v>
      </c>
      <c r="K56" s="53"/>
      <c r="L56" s="54"/>
      <c r="M56" s="54"/>
    </row>
    <row r="57" spans="1:13" ht="14.25" customHeight="1" x14ac:dyDescent="0.25">
      <c r="A57" s="50" t="s">
        <v>83</v>
      </c>
      <c r="B57" s="56">
        <v>0</v>
      </c>
      <c r="C57" s="56">
        <v>1</v>
      </c>
      <c r="D57" s="56">
        <v>9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2">
        <f t="shared" si="1"/>
        <v>9.5</v>
      </c>
      <c r="K57" s="57">
        <f>J57+J56</f>
        <v>14.5</v>
      </c>
      <c r="L57" s="54">
        <f>SUM(J54:J57)</f>
        <v>30.5</v>
      </c>
      <c r="M57" s="54">
        <f>SUM(C54:I57)</f>
        <v>32</v>
      </c>
    </row>
    <row r="58" spans="1:13" ht="14.25" customHeight="1" x14ac:dyDescent="0.25">
      <c r="A58" s="50" t="s">
        <v>84</v>
      </c>
      <c r="B58" s="56">
        <v>0</v>
      </c>
      <c r="C58" s="56">
        <v>0</v>
      </c>
      <c r="D58" s="56">
        <v>8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2">
        <f t="shared" si="1"/>
        <v>8</v>
      </c>
      <c r="K58" s="53"/>
      <c r="L58" s="53"/>
      <c r="M58" s="53"/>
    </row>
    <row r="59" spans="1:13" ht="14.25" customHeight="1" x14ac:dyDescent="0.25">
      <c r="A59" s="50" t="s">
        <v>85</v>
      </c>
      <c r="B59" s="56">
        <v>0</v>
      </c>
      <c r="C59" s="56">
        <v>0</v>
      </c>
      <c r="D59" s="56">
        <v>11</v>
      </c>
      <c r="E59" s="56">
        <v>0</v>
      </c>
      <c r="F59" s="56">
        <v>0</v>
      </c>
      <c r="G59" s="56">
        <v>0</v>
      </c>
      <c r="H59" s="56">
        <v>0</v>
      </c>
      <c r="I59" s="56">
        <v>0</v>
      </c>
      <c r="J59" s="52">
        <f t="shared" si="1"/>
        <v>11</v>
      </c>
      <c r="K59" s="54">
        <f>J59+J58</f>
        <v>19</v>
      </c>
      <c r="L59" s="55"/>
      <c r="M59" s="55"/>
    </row>
    <row r="60" spans="1:13" ht="14.25" customHeight="1" x14ac:dyDescent="0.25">
      <c r="A60" s="50" t="s">
        <v>86</v>
      </c>
      <c r="B60" s="56">
        <v>0</v>
      </c>
      <c r="C60" s="56">
        <v>0</v>
      </c>
      <c r="D60" s="56">
        <v>10</v>
      </c>
      <c r="E60" s="56">
        <v>0</v>
      </c>
      <c r="F60" s="56">
        <v>0</v>
      </c>
      <c r="G60" s="56">
        <v>0</v>
      </c>
      <c r="H60" s="56">
        <v>0</v>
      </c>
      <c r="I60" s="56">
        <v>0</v>
      </c>
      <c r="J60" s="52">
        <f t="shared" si="1"/>
        <v>10</v>
      </c>
      <c r="K60" s="53"/>
      <c r="L60" s="54"/>
      <c r="M60" s="54"/>
    </row>
    <row r="61" spans="1:13" ht="14.25" customHeight="1" x14ac:dyDescent="0.25">
      <c r="A61" s="50" t="s">
        <v>87</v>
      </c>
      <c r="B61" s="56">
        <v>0</v>
      </c>
      <c r="C61" s="56">
        <v>0</v>
      </c>
      <c r="D61" s="56">
        <v>13</v>
      </c>
      <c r="E61" s="56">
        <v>0</v>
      </c>
      <c r="F61" s="56">
        <v>0</v>
      </c>
      <c r="G61" s="56">
        <v>0</v>
      </c>
      <c r="H61" s="56">
        <v>0</v>
      </c>
      <c r="I61" s="56">
        <v>0</v>
      </c>
      <c r="J61" s="52">
        <f t="shared" si="1"/>
        <v>13</v>
      </c>
      <c r="K61" s="54">
        <f>J61+J60</f>
        <v>23</v>
      </c>
      <c r="L61" s="54">
        <f>SUM(J58:J61)</f>
        <v>42</v>
      </c>
      <c r="M61" s="54">
        <f>SUM(C58:I61)</f>
        <v>42</v>
      </c>
    </row>
    <row r="62" spans="1:13" ht="14.25" customHeight="1" x14ac:dyDescent="0.25">
      <c r="A62" s="50" t="s">
        <v>88</v>
      </c>
      <c r="B62" s="56">
        <v>0</v>
      </c>
      <c r="C62" s="56">
        <v>0</v>
      </c>
      <c r="D62" s="56">
        <v>6</v>
      </c>
      <c r="E62" s="56">
        <v>0</v>
      </c>
      <c r="F62" s="56">
        <v>0</v>
      </c>
      <c r="G62" s="56">
        <v>0</v>
      </c>
      <c r="H62" s="56">
        <v>0</v>
      </c>
      <c r="I62" s="56">
        <v>0</v>
      </c>
      <c r="J62" s="52">
        <f t="shared" si="1"/>
        <v>6</v>
      </c>
      <c r="K62" s="53"/>
      <c r="L62" s="53"/>
      <c r="M62" s="53"/>
    </row>
    <row r="63" spans="1:13" ht="14.25" customHeight="1" x14ac:dyDescent="0.25">
      <c r="A63" s="50" t="s">
        <v>89</v>
      </c>
      <c r="B63" s="56">
        <v>0</v>
      </c>
      <c r="C63" s="56">
        <v>0</v>
      </c>
      <c r="D63" s="56">
        <v>12</v>
      </c>
      <c r="E63" s="56">
        <v>0</v>
      </c>
      <c r="F63" s="56">
        <v>0</v>
      </c>
      <c r="G63" s="56">
        <v>0</v>
      </c>
      <c r="H63" s="56">
        <v>0</v>
      </c>
      <c r="I63" s="56">
        <v>0</v>
      </c>
      <c r="J63" s="52">
        <f t="shared" si="1"/>
        <v>12</v>
      </c>
      <c r="K63" s="54">
        <f>J63+J62</f>
        <v>18</v>
      </c>
      <c r="L63" s="55"/>
      <c r="M63" s="55"/>
    </row>
    <row r="64" spans="1:13" ht="14.25" customHeight="1" x14ac:dyDescent="0.25">
      <c r="A64" s="50" t="s">
        <v>90</v>
      </c>
      <c r="B64" s="56">
        <v>0</v>
      </c>
      <c r="C64" s="56">
        <v>0</v>
      </c>
      <c r="D64" s="56">
        <v>10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2">
        <f t="shared" si="1"/>
        <v>10</v>
      </c>
      <c r="K64" s="53"/>
      <c r="L64" s="54"/>
      <c r="M64" s="54"/>
    </row>
    <row r="65" spans="1:13" ht="14.25" customHeight="1" x14ac:dyDescent="0.25">
      <c r="A65" s="50" t="s">
        <v>91</v>
      </c>
      <c r="B65" s="56">
        <v>0</v>
      </c>
      <c r="C65" s="56">
        <v>0</v>
      </c>
      <c r="D65" s="56">
        <v>13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2">
        <f t="shared" si="1"/>
        <v>13</v>
      </c>
      <c r="K65" s="54">
        <f>J65+J64</f>
        <v>23</v>
      </c>
      <c r="L65" s="54">
        <f>SUM(J62:J65)</f>
        <v>41</v>
      </c>
      <c r="M65" s="54">
        <f>SUM(C62:I65)</f>
        <v>41</v>
      </c>
    </row>
    <row r="66" spans="1:13" ht="14.25" customHeight="1" x14ac:dyDescent="0.25">
      <c r="A66" s="50" t="s">
        <v>92</v>
      </c>
      <c r="B66" s="56">
        <v>0</v>
      </c>
      <c r="C66" s="56">
        <v>0</v>
      </c>
      <c r="D66" s="56">
        <v>11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2">
        <f t="shared" si="1"/>
        <v>11</v>
      </c>
      <c r="K66" s="53"/>
      <c r="L66" s="53"/>
      <c r="M66" s="53"/>
    </row>
    <row r="67" spans="1:13" ht="14.25" customHeight="1" x14ac:dyDescent="0.25">
      <c r="A67" s="50" t="s">
        <v>93</v>
      </c>
      <c r="B67" s="56">
        <v>0</v>
      </c>
      <c r="C67" s="56">
        <v>0</v>
      </c>
      <c r="D67" s="56">
        <v>7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2">
        <f t="shared" si="1"/>
        <v>7</v>
      </c>
      <c r="K67" s="54">
        <f>J67+J66</f>
        <v>18</v>
      </c>
      <c r="L67" s="55"/>
      <c r="M67" s="55"/>
    </row>
    <row r="68" spans="1:13" ht="14.25" customHeight="1" x14ac:dyDescent="0.25">
      <c r="A68" s="50" t="s">
        <v>94</v>
      </c>
      <c r="B68" s="56">
        <v>0</v>
      </c>
      <c r="C68" s="56">
        <v>0</v>
      </c>
      <c r="D68" s="56">
        <v>8</v>
      </c>
      <c r="E68" s="56">
        <v>0</v>
      </c>
      <c r="F68" s="56">
        <v>0</v>
      </c>
      <c r="G68" s="56">
        <v>0</v>
      </c>
      <c r="H68" s="56">
        <v>0</v>
      </c>
      <c r="I68" s="56">
        <v>0</v>
      </c>
      <c r="J68" s="52">
        <f t="shared" si="1"/>
        <v>8</v>
      </c>
      <c r="K68" s="53"/>
      <c r="L68" s="54"/>
      <c r="M68" s="54"/>
    </row>
    <row r="69" spans="1:13" ht="14.25" customHeight="1" x14ac:dyDescent="0.25">
      <c r="A69" s="50" t="s">
        <v>95</v>
      </c>
      <c r="B69" s="56">
        <v>0</v>
      </c>
      <c r="C69" s="56">
        <v>0</v>
      </c>
      <c r="D69" s="56">
        <v>9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2">
        <f t="shared" si="1"/>
        <v>9</v>
      </c>
      <c r="K69" s="54">
        <f>J69+J68</f>
        <v>17</v>
      </c>
      <c r="L69" s="54">
        <f>SUM(J66:J69)</f>
        <v>35</v>
      </c>
      <c r="M69" s="54">
        <f>SUM(C66:I69)</f>
        <v>35</v>
      </c>
    </row>
    <row r="70" spans="1:13" ht="14.25" customHeight="1" x14ac:dyDescent="0.25">
      <c r="A70" s="50" t="s">
        <v>96</v>
      </c>
      <c r="B70" s="51"/>
      <c r="C70" s="51"/>
      <c r="D70" s="51"/>
      <c r="E70" s="51"/>
      <c r="F70" s="51"/>
      <c r="G70" s="51"/>
      <c r="H70" s="51"/>
      <c r="I70" s="51"/>
      <c r="J70" s="52">
        <f t="shared" si="1"/>
        <v>0</v>
      </c>
      <c r="K70" s="53"/>
      <c r="L70" s="53"/>
      <c r="M70" s="53"/>
    </row>
    <row r="71" spans="1:13" ht="14.25" customHeight="1" x14ac:dyDescent="0.25">
      <c r="A71" s="50" t="s">
        <v>97</v>
      </c>
      <c r="B71" s="51"/>
      <c r="C71" s="51"/>
      <c r="D71" s="51"/>
      <c r="E71" s="51"/>
      <c r="F71" s="51"/>
      <c r="G71" s="51"/>
      <c r="H71" s="51"/>
      <c r="I71" s="51"/>
      <c r="J71" s="52">
        <f t="shared" si="1"/>
        <v>0</v>
      </c>
      <c r="K71" s="54">
        <f>J71+J70</f>
        <v>0</v>
      </c>
      <c r="L71" s="55"/>
      <c r="M71" s="55"/>
    </row>
    <row r="72" spans="1:13" ht="14.25" customHeight="1" x14ac:dyDescent="0.25">
      <c r="A72" s="50" t="s">
        <v>98</v>
      </c>
      <c r="B72" s="51"/>
      <c r="C72" s="51"/>
      <c r="D72" s="51"/>
      <c r="E72" s="51"/>
      <c r="F72" s="51"/>
      <c r="G72" s="51"/>
      <c r="H72" s="51"/>
      <c r="I72" s="51"/>
      <c r="J72" s="52">
        <f t="shared" si="1"/>
        <v>0</v>
      </c>
      <c r="K72" s="53"/>
      <c r="L72" s="54"/>
      <c r="M72" s="54"/>
    </row>
    <row r="73" spans="1:13" ht="14.25" customHeight="1" x14ac:dyDescent="0.25">
      <c r="A73" s="58" t="s">
        <v>99</v>
      </c>
      <c r="B73" s="51"/>
      <c r="C73" s="51"/>
      <c r="D73" s="51"/>
      <c r="E73" s="51"/>
      <c r="F73" s="51"/>
      <c r="G73" s="51"/>
      <c r="H73" s="51"/>
      <c r="I73" s="51"/>
      <c r="J73" s="52">
        <f t="shared" si="1"/>
        <v>0</v>
      </c>
      <c r="K73" s="54">
        <f>J73+J72</f>
        <v>0</v>
      </c>
      <c r="L73" s="54">
        <f>SUM(J70:J73)</f>
        <v>0</v>
      </c>
      <c r="M73" s="54">
        <f>SUM(C70:I73)</f>
        <v>0</v>
      </c>
    </row>
    <row r="74" spans="1:13" ht="14.25" customHeight="1" x14ac:dyDescent="0.25">
      <c r="A74" s="59" t="s">
        <v>100</v>
      </c>
      <c r="B74" s="51"/>
      <c r="C74" s="51"/>
      <c r="D74" s="51"/>
      <c r="E74" s="51"/>
      <c r="F74" s="51"/>
      <c r="G74" s="51"/>
      <c r="H74" s="51"/>
      <c r="I74" s="51"/>
      <c r="J74" s="52">
        <f t="shared" si="1"/>
        <v>0</v>
      </c>
      <c r="K74" s="53"/>
      <c r="L74" s="53"/>
      <c r="M74" s="53"/>
    </row>
    <row r="75" spans="1:13" ht="14.25" customHeight="1" x14ac:dyDescent="0.25">
      <c r="A75" s="59" t="s">
        <v>101</v>
      </c>
      <c r="B75" s="51"/>
      <c r="C75" s="51"/>
      <c r="D75" s="51"/>
      <c r="E75" s="51"/>
      <c r="F75" s="51"/>
      <c r="G75" s="51"/>
      <c r="H75" s="51"/>
      <c r="I75" s="51"/>
      <c r="J75" s="52">
        <f t="shared" si="1"/>
        <v>0</v>
      </c>
      <c r="K75" s="54">
        <f>J75+J74</f>
        <v>0</v>
      </c>
      <c r="L75" s="55"/>
      <c r="M75" s="55"/>
    </row>
    <row r="76" spans="1:13" ht="14.25" customHeight="1" x14ac:dyDescent="0.25">
      <c r="A76" s="59" t="s">
        <v>102</v>
      </c>
      <c r="B76" s="51"/>
      <c r="C76" s="51"/>
      <c r="D76" s="51"/>
      <c r="E76" s="51"/>
      <c r="F76" s="51"/>
      <c r="G76" s="51"/>
      <c r="H76" s="51"/>
      <c r="I76" s="51"/>
      <c r="J76" s="52">
        <f t="shared" si="1"/>
        <v>0</v>
      </c>
      <c r="K76" s="53"/>
      <c r="L76" s="54"/>
      <c r="M76" s="54"/>
    </row>
    <row r="77" spans="1:13" ht="14.25" customHeight="1" x14ac:dyDescent="0.25">
      <c r="A77" s="59" t="s">
        <v>103</v>
      </c>
      <c r="B77" s="51"/>
      <c r="C77" s="51"/>
      <c r="D77" s="51"/>
      <c r="E77" s="51"/>
      <c r="F77" s="51"/>
      <c r="G77" s="51"/>
      <c r="H77" s="51"/>
      <c r="I77" s="51"/>
      <c r="J77" s="52">
        <f t="shared" si="1"/>
        <v>0</v>
      </c>
      <c r="K77" s="54">
        <f>J77+J76</f>
        <v>0</v>
      </c>
      <c r="L77" s="54">
        <f>SUM(J74:J77)</f>
        <v>0</v>
      </c>
      <c r="M77" s="54">
        <f>SUM(C74:I77)</f>
        <v>0</v>
      </c>
    </row>
    <row r="78" spans="1:13" ht="14.25" customHeight="1" x14ac:dyDescent="0.25">
      <c r="A78" s="59" t="s">
        <v>104</v>
      </c>
      <c r="B78" s="51"/>
      <c r="C78" s="51"/>
      <c r="D78" s="51"/>
      <c r="E78" s="51"/>
      <c r="F78" s="51"/>
      <c r="G78" s="51"/>
      <c r="H78" s="51"/>
      <c r="I78" s="51"/>
      <c r="J78" s="52">
        <f t="shared" ref="J78:J109" si="2">SUMPRODUCT(B78:I78,$B$11:$I$11)</f>
        <v>0</v>
      </c>
      <c r="K78" s="53"/>
      <c r="L78" s="53"/>
      <c r="M78" s="53"/>
    </row>
    <row r="79" spans="1:13" ht="14.25" customHeight="1" x14ac:dyDescent="0.25">
      <c r="A79" s="59" t="s">
        <v>105</v>
      </c>
      <c r="B79" s="51"/>
      <c r="C79" s="51"/>
      <c r="D79" s="51"/>
      <c r="E79" s="51"/>
      <c r="F79" s="51"/>
      <c r="G79" s="51"/>
      <c r="H79" s="51"/>
      <c r="I79" s="51"/>
      <c r="J79" s="52">
        <f t="shared" si="2"/>
        <v>0</v>
      </c>
      <c r="K79" s="54">
        <f>J79+J78</f>
        <v>0</v>
      </c>
      <c r="L79" s="55"/>
      <c r="M79" s="55"/>
    </row>
    <row r="80" spans="1:13" ht="14.25" customHeight="1" x14ac:dyDescent="0.25">
      <c r="A80" s="59" t="s">
        <v>106</v>
      </c>
      <c r="B80" s="51"/>
      <c r="C80" s="51"/>
      <c r="D80" s="51"/>
      <c r="E80" s="51"/>
      <c r="F80" s="51"/>
      <c r="G80" s="51"/>
      <c r="H80" s="51"/>
      <c r="I80" s="51"/>
      <c r="J80" s="52">
        <f t="shared" si="2"/>
        <v>0</v>
      </c>
      <c r="K80" s="53"/>
      <c r="L80" s="54"/>
      <c r="M80" s="54"/>
    </row>
    <row r="81" spans="1:13" ht="14.25" customHeight="1" x14ac:dyDescent="0.25">
      <c r="A81" s="59" t="s">
        <v>107</v>
      </c>
      <c r="B81" s="51"/>
      <c r="C81" s="51"/>
      <c r="D81" s="51"/>
      <c r="E81" s="51"/>
      <c r="F81" s="51"/>
      <c r="G81" s="51"/>
      <c r="H81" s="51"/>
      <c r="I81" s="51"/>
      <c r="J81" s="52">
        <f t="shared" si="2"/>
        <v>0</v>
      </c>
      <c r="K81" s="54">
        <f>J81+J80</f>
        <v>0</v>
      </c>
      <c r="L81" s="54">
        <f>SUM(J78:J81)</f>
        <v>0</v>
      </c>
      <c r="M81" s="54">
        <f>SUM(C78:I81)</f>
        <v>0</v>
      </c>
    </row>
    <row r="82" spans="1:13" ht="14.25" customHeight="1" x14ac:dyDescent="0.45">
      <c r="A82" s="60" t="s">
        <v>108</v>
      </c>
      <c r="B82" s="61">
        <f>SUM(B$14:B81)</f>
        <v>0</v>
      </c>
      <c r="C82" s="61">
        <f>SUM(C$14:C81)</f>
        <v>4</v>
      </c>
      <c r="D82" s="61">
        <f>SUM(D$14:D81)</f>
        <v>392</v>
      </c>
      <c r="E82" s="61">
        <f>SUM(E$14:E81)</f>
        <v>1</v>
      </c>
      <c r="F82" s="61">
        <f>SUM(F$14:F81)</f>
        <v>0</v>
      </c>
      <c r="G82" s="61">
        <f>SUM(G$14:G81)</f>
        <v>2</v>
      </c>
      <c r="H82" s="61">
        <f>SUM(H$14:H81)</f>
        <v>0</v>
      </c>
      <c r="I82" s="61">
        <f>SUM(I$14:I81)</f>
        <v>2</v>
      </c>
      <c r="J82" s="61">
        <f>SUM(B82:I82)</f>
        <v>401</v>
      </c>
      <c r="K82" s="62"/>
      <c r="L82" s="63"/>
      <c r="M82" s="63"/>
    </row>
    <row r="83" spans="1:13" ht="14.25" customHeight="1" x14ac:dyDescent="0.25">
      <c r="L83" s="64"/>
      <c r="M83" s="64"/>
    </row>
    <row r="84" spans="1:13" ht="14.25" customHeight="1" x14ac:dyDescent="0.25">
      <c r="L84" s="65"/>
      <c r="M84" s="65"/>
    </row>
    <row r="85" spans="1:13" ht="14.25" customHeight="1" x14ac:dyDescent="0.25">
      <c r="L85" s="65"/>
      <c r="M85" s="65"/>
    </row>
    <row r="86" spans="1:13" ht="14.25" customHeight="1" x14ac:dyDescent="0.25"/>
    <row r="87" spans="1:13" ht="14.25" customHeight="1" x14ac:dyDescent="0.25"/>
    <row r="88" spans="1:13" ht="14.25" customHeight="1" x14ac:dyDescent="0.25"/>
    <row r="89" spans="1:13" ht="14.25" customHeight="1" x14ac:dyDescent="0.25"/>
    <row r="90" spans="1:13" ht="14.25" customHeight="1" x14ac:dyDescent="0.25"/>
    <row r="91" spans="1:13" ht="14.25" customHeight="1" x14ac:dyDescent="0.25"/>
    <row r="92" spans="1:13" ht="14.25" customHeight="1" x14ac:dyDescent="0.25"/>
    <row r="93" spans="1:13" ht="14.25" customHeight="1" x14ac:dyDescent="0.25"/>
    <row r="94" spans="1:13" ht="14.25" customHeight="1" x14ac:dyDescent="0.25"/>
    <row r="95" spans="1:13" ht="14.25" customHeight="1" x14ac:dyDescent="0.25"/>
    <row r="96" spans="1:1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</sheetData>
  <mergeCells count="2">
    <mergeCell ref="A3:M3"/>
    <mergeCell ref="A4:M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980"/>
  <sheetViews>
    <sheetView topLeftCell="A24" zoomScale="85" zoomScaleNormal="85" workbookViewId="0">
      <selection activeCell="D58" sqref="D58:D61"/>
    </sheetView>
  </sheetViews>
  <sheetFormatPr defaultColWidth="15.90625" defaultRowHeight="12.75" customHeight="1" x14ac:dyDescent="0.25"/>
  <cols>
    <col min="1" max="1" width="14.453125" customWidth="1"/>
    <col min="2" max="9" width="6.90625" customWidth="1"/>
    <col min="10" max="13" width="7.453125" customWidth="1"/>
    <col min="16367" max="16384" width="11.54296875" customWidth="1"/>
  </cols>
  <sheetData>
    <row r="1" spans="1:13" ht="14.2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8.75" customHeight="1" x14ac:dyDescent="0.4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35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4.25" customHeight="1" x14ac:dyDescent="0.3">
      <c r="A5" s="24" t="s">
        <v>6</v>
      </c>
      <c r="B5" s="25"/>
      <c r="C5" s="26"/>
      <c r="D5" s="27"/>
      <c r="E5" s="27"/>
      <c r="F5" s="25"/>
      <c r="G5" s="25"/>
      <c r="H5" s="28"/>
      <c r="I5" s="26"/>
      <c r="J5" s="27" t="s">
        <v>3</v>
      </c>
      <c r="K5" s="25">
        <v>0</v>
      </c>
      <c r="L5" s="29"/>
      <c r="M5" s="30"/>
    </row>
    <row r="6" spans="1:13" ht="14.25" customHeight="1" x14ac:dyDescent="0.3">
      <c r="A6" s="31">
        <f>Deckbl.!I11</f>
        <v>45944</v>
      </c>
      <c r="B6" s="9"/>
      <c r="C6" s="8"/>
      <c r="D6" s="8"/>
      <c r="E6" s="9"/>
      <c r="F6" s="9"/>
      <c r="G6" s="9"/>
      <c r="H6" s="9"/>
      <c r="I6" s="8"/>
      <c r="J6" s="12" t="s">
        <v>9</v>
      </c>
      <c r="K6" s="32" t="str">
        <f>Deckbl.!I12</f>
        <v>9-14 ° sonnig</v>
      </c>
      <c r="L6" s="33"/>
      <c r="M6" s="34"/>
    </row>
    <row r="7" spans="1:13" ht="14.25" customHeight="1" x14ac:dyDescent="0.3">
      <c r="A7" s="35"/>
      <c r="B7" s="12" t="s">
        <v>14</v>
      </c>
      <c r="C7" s="36" t="str">
        <f>Deckbl.!C8</f>
        <v>B122 / Badhaller Straße / Holznerweg (Bad Hall)</v>
      </c>
      <c r="D7" s="33"/>
      <c r="E7" s="37"/>
      <c r="F7" s="37"/>
      <c r="G7" s="37"/>
      <c r="H7" s="37"/>
      <c r="I7" s="38"/>
      <c r="J7" s="36"/>
      <c r="K7" s="37"/>
      <c r="L7" s="37"/>
      <c r="M7" s="39"/>
    </row>
    <row r="8" spans="1:13" ht="14.25" customHeight="1" x14ac:dyDescent="0.3">
      <c r="A8" s="35"/>
      <c r="B8" s="12" t="s">
        <v>15</v>
      </c>
      <c r="C8" s="33"/>
      <c r="D8" s="33"/>
      <c r="E8" s="37"/>
      <c r="F8" s="37"/>
      <c r="G8" s="37"/>
      <c r="H8" s="37"/>
      <c r="I8" s="38" t="s">
        <v>7</v>
      </c>
      <c r="J8" s="36" t="s">
        <v>16</v>
      </c>
      <c r="K8" s="40"/>
      <c r="L8" s="37"/>
      <c r="M8" s="39"/>
    </row>
    <row r="9" spans="1:13" ht="14.25" customHeight="1" x14ac:dyDescent="0.3">
      <c r="A9" s="35"/>
      <c r="B9" s="12" t="s">
        <v>17</v>
      </c>
      <c r="C9" s="41" t="s">
        <v>109</v>
      </c>
      <c r="D9" s="8"/>
      <c r="E9" s="9"/>
      <c r="F9" s="9"/>
      <c r="G9" s="9"/>
      <c r="H9" s="9"/>
      <c r="I9" s="12" t="s">
        <v>19</v>
      </c>
      <c r="J9" s="36" t="str">
        <f>Deckbl.!C11</f>
        <v>7-19 Uhr</v>
      </c>
      <c r="K9" s="37"/>
      <c r="L9" s="37"/>
      <c r="M9" s="39"/>
    </row>
    <row r="10" spans="1:13" ht="14.25" customHeight="1" x14ac:dyDescent="0.3">
      <c r="A10" s="35"/>
      <c r="B10" s="38" t="s">
        <v>20</v>
      </c>
      <c r="C10" s="42"/>
      <c r="D10" s="33"/>
      <c r="E10" s="37"/>
      <c r="F10" s="37"/>
      <c r="G10" s="37"/>
      <c r="H10" s="37"/>
      <c r="I10" s="38"/>
      <c r="J10" s="36"/>
      <c r="K10" s="37"/>
      <c r="L10" s="36"/>
      <c r="M10" s="39"/>
    </row>
    <row r="11" spans="1:13" ht="14.25" customHeight="1" x14ac:dyDescent="0.25">
      <c r="A11" s="43" t="s">
        <v>21</v>
      </c>
      <c r="B11" s="44">
        <v>0.3</v>
      </c>
      <c r="C11" s="44">
        <v>0.5</v>
      </c>
      <c r="D11" s="44">
        <v>1</v>
      </c>
      <c r="E11" s="44">
        <v>2</v>
      </c>
      <c r="F11" s="44">
        <v>2</v>
      </c>
      <c r="G11" s="44">
        <v>2</v>
      </c>
      <c r="H11" s="44">
        <v>3</v>
      </c>
      <c r="I11" s="44">
        <v>2</v>
      </c>
      <c r="J11" s="45"/>
      <c r="K11" s="45"/>
      <c r="L11" s="45"/>
      <c r="M11" s="45"/>
    </row>
    <row r="12" spans="1:13" ht="14.25" customHeight="1" x14ac:dyDescent="0.25">
      <c r="A12" s="46"/>
      <c r="B12" s="24"/>
      <c r="C12" s="47" t="s">
        <v>22</v>
      </c>
      <c r="D12" s="24" t="s">
        <v>23</v>
      </c>
      <c r="E12" s="47" t="s">
        <v>24</v>
      </c>
      <c r="F12" s="47" t="s">
        <v>25</v>
      </c>
      <c r="G12" s="24" t="s">
        <v>26</v>
      </c>
      <c r="H12" s="47" t="s">
        <v>27</v>
      </c>
      <c r="I12" s="47" t="s">
        <v>28</v>
      </c>
      <c r="J12" s="48" t="s">
        <v>29</v>
      </c>
      <c r="K12" s="48" t="s">
        <v>29</v>
      </c>
      <c r="L12" s="48" t="s">
        <v>29</v>
      </c>
      <c r="M12" s="48" t="s">
        <v>30</v>
      </c>
    </row>
    <row r="13" spans="1:13" ht="14.25" customHeight="1" x14ac:dyDescent="0.25">
      <c r="A13" s="49" t="s">
        <v>31</v>
      </c>
      <c r="B13" s="47" t="s">
        <v>32</v>
      </c>
      <c r="C13" s="47" t="s">
        <v>30</v>
      </c>
      <c r="D13" s="47" t="s">
        <v>33</v>
      </c>
      <c r="E13" s="47" t="s">
        <v>34</v>
      </c>
      <c r="F13" s="47" t="s">
        <v>34</v>
      </c>
      <c r="G13" s="47"/>
      <c r="H13" s="47" t="s">
        <v>35</v>
      </c>
      <c r="I13" s="47" t="s">
        <v>36</v>
      </c>
      <c r="J13" s="48" t="s">
        <v>37</v>
      </c>
      <c r="K13" s="48" t="s">
        <v>38</v>
      </c>
      <c r="L13" s="48" t="s">
        <v>39</v>
      </c>
      <c r="M13" s="48" t="s">
        <v>39</v>
      </c>
    </row>
    <row r="14" spans="1:13" ht="14.25" customHeight="1" x14ac:dyDescent="0.25">
      <c r="A14" s="50" t="s">
        <v>40</v>
      </c>
      <c r="B14" s="51"/>
      <c r="C14" s="51"/>
      <c r="D14" s="51"/>
      <c r="E14" s="51"/>
      <c r="F14" s="51"/>
      <c r="G14" s="51"/>
      <c r="H14" s="51"/>
      <c r="I14" s="51"/>
      <c r="J14" s="52">
        <f t="shared" ref="J14:J45" si="0">SUMPRODUCT(B14:I14,$B$11:$I$11)</f>
        <v>0</v>
      </c>
      <c r="K14" s="53"/>
      <c r="L14" s="53"/>
      <c r="M14" s="53"/>
    </row>
    <row r="15" spans="1:13" ht="14.25" customHeight="1" x14ac:dyDescent="0.25">
      <c r="A15" s="50" t="s">
        <v>41</v>
      </c>
      <c r="B15" s="51"/>
      <c r="C15" s="51"/>
      <c r="D15" s="51"/>
      <c r="E15" s="51"/>
      <c r="F15" s="51"/>
      <c r="G15" s="51"/>
      <c r="H15" s="51"/>
      <c r="I15" s="51"/>
      <c r="J15" s="52">
        <f t="shared" si="0"/>
        <v>0</v>
      </c>
      <c r="K15" s="54">
        <f>J15+J14</f>
        <v>0</v>
      </c>
      <c r="L15" s="55"/>
      <c r="M15" s="55"/>
    </row>
    <row r="16" spans="1:13" ht="14.25" customHeight="1" x14ac:dyDescent="0.25">
      <c r="A16" s="50" t="s">
        <v>42</v>
      </c>
      <c r="B16" s="51"/>
      <c r="C16" s="51"/>
      <c r="D16" s="51"/>
      <c r="E16" s="51"/>
      <c r="F16" s="51"/>
      <c r="G16" s="51"/>
      <c r="H16" s="51"/>
      <c r="I16" s="51"/>
      <c r="J16" s="52">
        <f t="shared" si="0"/>
        <v>0</v>
      </c>
      <c r="K16" s="53"/>
      <c r="L16" s="54"/>
      <c r="M16" s="54"/>
    </row>
    <row r="17" spans="1:13" ht="14.25" customHeight="1" x14ac:dyDescent="0.25">
      <c r="A17" s="50" t="s">
        <v>43</v>
      </c>
      <c r="B17" s="51"/>
      <c r="C17" s="51"/>
      <c r="D17" s="51"/>
      <c r="E17" s="51"/>
      <c r="F17" s="51"/>
      <c r="G17" s="51"/>
      <c r="H17" s="51"/>
      <c r="I17" s="51"/>
      <c r="J17" s="52">
        <f t="shared" si="0"/>
        <v>0</v>
      </c>
      <c r="K17" s="54">
        <f>J17+J16</f>
        <v>0</v>
      </c>
      <c r="L17" s="54">
        <f>SUM(J14:J17)</f>
        <v>0</v>
      </c>
      <c r="M17" s="54">
        <f>SUM(C14:I17)</f>
        <v>0</v>
      </c>
    </row>
    <row r="18" spans="1:13" ht="14.25" customHeight="1" x14ac:dyDescent="0.25">
      <c r="A18" s="50" t="s">
        <v>44</v>
      </c>
      <c r="B18" s="51"/>
      <c r="C18" s="51"/>
      <c r="D18" s="51"/>
      <c r="E18" s="51"/>
      <c r="F18" s="51"/>
      <c r="G18" s="51"/>
      <c r="H18" s="51"/>
      <c r="I18" s="51"/>
      <c r="J18" s="52">
        <f t="shared" si="0"/>
        <v>0</v>
      </c>
      <c r="K18" s="53"/>
      <c r="L18" s="53"/>
      <c r="M18" s="53"/>
    </row>
    <row r="19" spans="1:13" ht="14.25" customHeight="1" x14ac:dyDescent="0.25">
      <c r="A19" s="50" t="s">
        <v>45</v>
      </c>
      <c r="B19" s="51"/>
      <c r="C19" s="51"/>
      <c r="D19" s="51"/>
      <c r="E19" s="51"/>
      <c r="F19" s="51"/>
      <c r="G19" s="51"/>
      <c r="H19" s="51"/>
      <c r="I19" s="51"/>
      <c r="J19" s="52">
        <f t="shared" si="0"/>
        <v>0</v>
      </c>
      <c r="K19" s="54">
        <f>J19+J18</f>
        <v>0</v>
      </c>
      <c r="L19" s="55"/>
      <c r="M19" s="55"/>
    </row>
    <row r="20" spans="1:13" ht="14.25" customHeight="1" x14ac:dyDescent="0.25">
      <c r="A20" s="50" t="s">
        <v>46</v>
      </c>
      <c r="B20" s="51"/>
      <c r="C20" s="51"/>
      <c r="D20" s="51"/>
      <c r="E20" s="51"/>
      <c r="F20" s="51"/>
      <c r="G20" s="51"/>
      <c r="H20" s="51"/>
      <c r="I20" s="51"/>
      <c r="J20" s="52">
        <f t="shared" si="0"/>
        <v>0</v>
      </c>
      <c r="K20" s="53"/>
      <c r="L20" s="54"/>
      <c r="M20" s="54"/>
    </row>
    <row r="21" spans="1:13" ht="14.25" customHeight="1" x14ac:dyDescent="0.25">
      <c r="A21" s="50" t="s">
        <v>47</v>
      </c>
      <c r="B21" s="51"/>
      <c r="C21" s="51"/>
      <c r="D21" s="51"/>
      <c r="E21" s="51"/>
      <c r="F21" s="51"/>
      <c r="G21" s="51"/>
      <c r="H21" s="51"/>
      <c r="I21" s="51"/>
      <c r="J21" s="52">
        <f t="shared" si="0"/>
        <v>0</v>
      </c>
      <c r="K21" s="54">
        <f>J21+J20</f>
        <v>0</v>
      </c>
      <c r="L21" s="54">
        <f>SUM(J18:J21)</f>
        <v>0</v>
      </c>
      <c r="M21" s="54">
        <f>SUM(C18:I21)</f>
        <v>0</v>
      </c>
    </row>
    <row r="22" spans="1:13" ht="14.25" customHeight="1" x14ac:dyDescent="0.25">
      <c r="A22" s="50" t="s">
        <v>48</v>
      </c>
      <c r="B22" s="56">
        <v>0</v>
      </c>
      <c r="C22" s="56">
        <v>0</v>
      </c>
      <c r="D22" s="56">
        <v>68</v>
      </c>
      <c r="E22" s="56">
        <v>1</v>
      </c>
      <c r="F22" s="56">
        <v>0</v>
      </c>
      <c r="G22" s="56">
        <v>2</v>
      </c>
      <c r="H22" s="56">
        <v>8</v>
      </c>
      <c r="I22" s="56">
        <v>0</v>
      </c>
      <c r="J22" s="52">
        <f t="shared" si="0"/>
        <v>98</v>
      </c>
      <c r="K22" s="53"/>
      <c r="L22" s="53"/>
      <c r="M22" s="53"/>
    </row>
    <row r="23" spans="1:13" ht="14.25" customHeight="1" x14ac:dyDescent="0.25">
      <c r="A23" s="50" t="s">
        <v>49</v>
      </c>
      <c r="B23" s="56">
        <v>0</v>
      </c>
      <c r="C23" s="56">
        <v>0</v>
      </c>
      <c r="D23" s="56">
        <v>100</v>
      </c>
      <c r="E23" s="56">
        <v>2</v>
      </c>
      <c r="F23" s="56">
        <v>0</v>
      </c>
      <c r="G23" s="56">
        <v>6</v>
      </c>
      <c r="H23" s="56">
        <v>4</v>
      </c>
      <c r="I23" s="56">
        <v>0</v>
      </c>
      <c r="J23" s="52">
        <f t="shared" si="0"/>
        <v>128</v>
      </c>
      <c r="K23" s="54">
        <f>J23+J22</f>
        <v>226</v>
      </c>
      <c r="L23" s="55"/>
      <c r="M23" s="55"/>
    </row>
    <row r="24" spans="1:13" ht="14.25" customHeight="1" x14ac:dyDescent="0.25">
      <c r="A24" s="50" t="s">
        <v>50</v>
      </c>
      <c r="B24" s="56">
        <v>0</v>
      </c>
      <c r="C24" s="56">
        <v>0</v>
      </c>
      <c r="D24" s="56">
        <v>84</v>
      </c>
      <c r="E24" s="56">
        <v>2</v>
      </c>
      <c r="F24" s="56">
        <v>0</v>
      </c>
      <c r="G24" s="56">
        <v>2</v>
      </c>
      <c r="H24" s="56">
        <v>5</v>
      </c>
      <c r="I24" s="56">
        <v>0</v>
      </c>
      <c r="J24" s="52">
        <f t="shared" si="0"/>
        <v>107</v>
      </c>
      <c r="K24" s="53"/>
      <c r="L24" s="54"/>
      <c r="M24" s="54"/>
    </row>
    <row r="25" spans="1:13" ht="14.25" customHeight="1" x14ac:dyDescent="0.25">
      <c r="A25" s="50" t="s">
        <v>51</v>
      </c>
      <c r="B25" s="56">
        <v>0</v>
      </c>
      <c r="C25" s="56">
        <v>0</v>
      </c>
      <c r="D25" s="56">
        <v>86</v>
      </c>
      <c r="E25" s="56">
        <v>1</v>
      </c>
      <c r="F25" s="56">
        <v>0</v>
      </c>
      <c r="G25" s="56">
        <v>5</v>
      </c>
      <c r="H25" s="56">
        <v>8</v>
      </c>
      <c r="I25" s="56">
        <v>1</v>
      </c>
      <c r="J25" s="52">
        <f t="shared" si="0"/>
        <v>124</v>
      </c>
      <c r="K25" s="54">
        <f>J25+J24</f>
        <v>231</v>
      </c>
      <c r="L25" s="54">
        <f>SUM(J22:J25)</f>
        <v>457</v>
      </c>
      <c r="M25" s="54">
        <f>SUM(C22:I25)</f>
        <v>385</v>
      </c>
    </row>
    <row r="26" spans="1:13" ht="14.25" customHeight="1" x14ac:dyDescent="0.25">
      <c r="A26" s="50" t="s">
        <v>52</v>
      </c>
      <c r="B26" s="56">
        <v>0</v>
      </c>
      <c r="C26" s="56">
        <v>0</v>
      </c>
      <c r="D26" s="56">
        <v>73</v>
      </c>
      <c r="E26" s="56">
        <v>1</v>
      </c>
      <c r="F26" s="56">
        <v>0</v>
      </c>
      <c r="G26" s="56">
        <v>0</v>
      </c>
      <c r="H26" s="56">
        <v>10</v>
      </c>
      <c r="I26" s="56">
        <v>0</v>
      </c>
      <c r="J26" s="52">
        <f t="shared" si="0"/>
        <v>105</v>
      </c>
      <c r="K26" s="53"/>
      <c r="L26" s="53"/>
      <c r="M26" s="53"/>
    </row>
    <row r="27" spans="1:13" ht="14.25" customHeight="1" x14ac:dyDescent="0.25">
      <c r="A27" s="50" t="s">
        <v>53</v>
      </c>
      <c r="B27" s="56">
        <v>0</v>
      </c>
      <c r="C27" s="56">
        <v>0</v>
      </c>
      <c r="D27" s="56">
        <v>72</v>
      </c>
      <c r="E27" s="56">
        <v>1</v>
      </c>
      <c r="F27" s="56">
        <v>0</v>
      </c>
      <c r="G27" s="56">
        <v>4</v>
      </c>
      <c r="H27" s="56">
        <v>2</v>
      </c>
      <c r="I27" s="56">
        <v>0</v>
      </c>
      <c r="J27" s="52">
        <f t="shared" si="0"/>
        <v>88</v>
      </c>
      <c r="K27" s="54">
        <f>J27+J26</f>
        <v>193</v>
      </c>
      <c r="L27" s="55"/>
      <c r="M27" s="55"/>
    </row>
    <row r="28" spans="1:13" ht="14.25" customHeight="1" x14ac:dyDescent="0.25">
      <c r="A28" s="50" t="s">
        <v>54</v>
      </c>
      <c r="B28" s="56">
        <v>0</v>
      </c>
      <c r="C28" s="56">
        <v>0</v>
      </c>
      <c r="D28" s="56">
        <v>77</v>
      </c>
      <c r="E28" s="56">
        <v>0</v>
      </c>
      <c r="F28" s="56">
        <v>0</v>
      </c>
      <c r="G28" s="56">
        <v>11</v>
      </c>
      <c r="H28" s="56">
        <v>4</v>
      </c>
      <c r="I28" s="56">
        <v>0</v>
      </c>
      <c r="J28" s="52">
        <f t="shared" si="0"/>
        <v>111</v>
      </c>
      <c r="K28" s="53"/>
      <c r="L28" s="54"/>
      <c r="M28" s="54"/>
    </row>
    <row r="29" spans="1:13" ht="14.25" customHeight="1" x14ac:dyDescent="0.25">
      <c r="A29" s="50" t="s">
        <v>55</v>
      </c>
      <c r="B29" s="56">
        <v>0</v>
      </c>
      <c r="C29" s="56">
        <v>0</v>
      </c>
      <c r="D29" s="56">
        <v>74</v>
      </c>
      <c r="E29" s="56">
        <v>0</v>
      </c>
      <c r="F29" s="56">
        <v>0</v>
      </c>
      <c r="G29" s="56">
        <v>6</v>
      </c>
      <c r="H29" s="56">
        <v>10</v>
      </c>
      <c r="I29" s="56">
        <v>0</v>
      </c>
      <c r="J29" s="52">
        <f t="shared" si="0"/>
        <v>116</v>
      </c>
      <c r="K29" s="54">
        <f>J29+J28</f>
        <v>227</v>
      </c>
      <c r="L29" s="54">
        <f>SUM(J26:J29)</f>
        <v>420</v>
      </c>
      <c r="M29" s="54">
        <f>SUM(C26:I29)</f>
        <v>345</v>
      </c>
    </row>
    <row r="30" spans="1:13" ht="14.25" customHeight="1" x14ac:dyDescent="0.25">
      <c r="A30" s="50" t="s">
        <v>56</v>
      </c>
      <c r="B30" s="56">
        <v>0</v>
      </c>
      <c r="C30" s="56">
        <v>1</v>
      </c>
      <c r="D30" s="56">
        <v>79</v>
      </c>
      <c r="E30" s="56">
        <v>0</v>
      </c>
      <c r="F30" s="56">
        <v>0</v>
      </c>
      <c r="G30" s="56">
        <v>4</v>
      </c>
      <c r="H30" s="56">
        <v>5</v>
      </c>
      <c r="I30" s="56">
        <v>0</v>
      </c>
      <c r="J30" s="52">
        <f t="shared" si="0"/>
        <v>102.5</v>
      </c>
      <c r="K30" s="53"/>
      <c r="L30" s="53"/>
      <c r="M30" s="53"/>
    </row>
    <row r="31" spans="1:13" ht="14.25" customHeight="1" x14ac:dyDescent="0.25">
      <c r="A31" s="50" t="s">
        <v>57</v>
      </c>
      <c r="B31" s="56">
        <v>0</v>
      </c>
      <c r="C31" s="56">
        <v>0</v>
      </c>
      <c r="D31" s="56">
        <v>58</v>
      </c>
      <c r="E31" s="56">
        <v>1</v>
      </c>
      <c r="F31" s="56">
        <v>0</v>
      </c>
      <c r="G31" s="56">
        <v>2</v>
      </c>
      <c r="H31" s="56">
        <v>6</v>
      </c>
      <c r="I31" s="56">
        <v>1</v>
      </c>
      <c r="J31" s="52">
        <f t="shared" si="0"/>
        <v>84</v>
      </c>
      <c r="K31" s="54">
        <f>J31+J30</f>
        <v>186.5</v>
      </c>
      <c r="L31" s="55"/>
      <c r="M31" s="55"/>
    </row>
    <row r="32" spans="1:13" ht="14.25" customHeight="1" x14ac:dyDescent="0.25">
      <c r="A32" s="50" t="s">
        <v>58</v>
      </c>
      <c r="B32" s="56">
        <v>0</v>
      </c>
      <c r="C32" s="56">
        <v>0</v>
      </c>
      <c r="D32" s="56">
        <v>74</v>
      </c>
      <c r="E32" s="56">
        <v>1</v>
      </c>
      <c r="F32" s="56">
        <v>0</v>
      </c>
      <c r="G32" s="56">
        <v>3</v>
      </c>
      <c r="H32" s="56">
        <v>5</v>
      </c>
      <c r="I32" s="56">
        <v>1</v>
      </c>
      <c r="J32" s="52">
        <f t="shared" si="0"/>
        <v>99</v>
      </c>
      <c r="K32" s="53"/>
      <c r="L32" s="54"/>
      <c r="M32" s="54"/>
    </row>
    <row r="33" spans="1:13" ht="14.25" customHeight="1" x14ac:dyDescent="0.25">
      <c r="A33" s="50" t="s">
        <v>59</v>
      </c>
      <c r="B33" s="56">
        <v>0</v>
      </c>
      <c r="C33" s="56">
        <v>0</v>
      </c>
      <c r="D33" s="56">
        <v>82</v>
      </c>
      <c r="E33" s="56">
        <v>1</v>
      </c>
      <c r="F33" s="56">
        <v>0</v>
      </c>
      <c r="G33" s="56">
        <v>1</v>
      </c>
      <c r="H33" s="56">
        <v>7</v>
      </c>
      <c r="I33" s="56">
        <v>0</v>
      </c>
      <c r="J33" s="52">
        <f t="shared" si="0"/>
        <v>107</v>
      </c>
      <c r="K33" s="54">
        <f>J33+J32</f>
        <v>206</v>
      </c>
      <c r="L33" s="54">
        <f>SUM(J30:J33)</f>
        <v>392.5</v>
      </c>
      <c r="M33" s="54">
        <f>SUM(C30:I33)</f>
        <v>332</v>
      </c>
    </row>
    <row r="34" spans="1:13" ht="14.25" customHeight="1" x14ac:dyDescent="0.25">
      <c r="A34" s="50" t="s">
        <v>60</v>
      </c>
      <c r="B34" s="56">
        <v>1</v>
      </c>
      <c r="C34" s="56">
        <v>0</v>
      </c>
      <c r="D34" s="56">
        <v>71</v>
      </c>
      <c r="E34" s="56">
        <v>0</v>
      </c>
      <c r="F34" s="56">
        <v>0</v>
      </c>
      <c r="G34" s="56">
        <v>0</v>
      </c>
      <c r="H34" s="56">
        <v>5</v>
      </c>
      <c r="I34" s="56">
        <v>1</v>
      </c>
      <c r="J34" s="52">
        <f t="shared" si="0"/>
        <v>88.3</v>
      </c>
      <c r="K34" s="53"/>
      <c r="L34" s="53"/>
      <c r="M34" s="53"/>
    </row>
    <row r="35" spans="1:13" ht="14.25" customHeight="1" x14ac:dyDescent="0.25">
      <c r="A35" s="50" t="s">
        <v>61</v>
      </c>
      <c r="B35" s="56">
        <v>0</v>
      </c>
      <c r="C35" s="56">
        <v>0</v>
      </c>
      <c r="D35" s="56">
        <v>60</v>
      </c>
      <c r="E35" s="56">
        <v>1</v>
      </c>
      <c r="F35" s="56">
        <v>0</v>
      </c>
      <c r="G35" s="56">
        <v>5</v>
      </c>
      <c r="H35" s="56">
        <v>3</v>
      </c>
      <c r="I35" s="56">
        <v>0</v>
      </c>
      <c r="J35" s="52">
        <f t="shared" si="0"/>
        <v>81</v>
      </c>
      <c r="K35" s="54">
        <f>J35+J34</f>
        <v>169.3</v>
      </c>
      <c r="L35" s="55"/>
      <c r="M35" s="55"/>
    </row>
    <row r="36" spans="1:13" ht="14.25" customHeight="1" x14ac:dyDescent="0.25">
      <c r="A36" s="50" t="s">
        <v>62</v>
      </c>
      <c r="B36" s="56">
        <v>0</v>
      </c>
      <c r="C36" s="56">
        <v>0</v>
      </c>
      <c r="D36" s="56">
        <v>73</v>
      </c>
      <c r="E36" s="56">
        <v>0</v>
      </c>
      <c r="F36" s="56">
        <v>0</v>
      </c>
      <c r="G36" s="56">
        <v>2</v>
      </c>
      <c r="H36" s="56">
        <v>5</v>
      </c>
      <c r="I36" s="56">
        <v>0</v>
      </c>
      <c r="J36" s="52">
        <f t="shared" si="0"/>
        <v>92</v>
      </c>
      <c r="K36" s="53"/>
      <c r="L36" s="54"/>
      <c r="M36" s="54"/>
    </row>
    <row r="37" spans="1:13" ht="14.25" customHeight="1" x14ac:dyDescent="0.25">
      <c r="A37" s="50" t="s">
        <v>63</v>
      </c>
      <c r="B37" s="56">
        <v>0</v>
      </c>
      <c r="C37" s="56">
        <v>0</v>
      </c>
      <c r="D37" s="56">
        <v>70</v>
      </c>
      <c r="E37" s="56">
        <v>1</v>
      </c>
      <c r="F37" s="56">
        <v>0</v>
      </c>
      <c r="G37" s="56">
        <v>3</v>
      </c>
      <c r="H37" s="56">
        <v>7</v>
      </c>
      <c r="I37" s="56">
        <v>0</v>
      </c>
      <c r="J37" s="52">
        <f t="shared" si="0"/>
        <v>99</v>
      </c>
      <c r="K37" s="54">
        <f>J37+J36</f>
        <v>191</v>
      </c>
      <c r="L37" s="54">
        <f>SUM(J34:J37)</f>
        <v>360.3</v>
      </c>
      <c r="M37" s="54">
        <f>SUM(C34:I37)</f>
        <v>307</v>
      </c>
    </row>
    <row r="38" spans="1:13" ht="14.25" customHeight="1" x14ac:dyDescent="0.25">
      <c r="A38" s="50" t="s">
        <v>64</v>
      </c>
      <c r="B38" s="56">
        <v>0</v>
      </c>
      <c r="C38" s="56">
        <v>1</v>
      </c>
      <c r="D38" s="56">
        <v>55</v>
      </c>
      <c r="E38" s="56">
        <v>0</v>
      </c>
      <c r="F38" s="56">
        <v>0</v>
      </c>
      <c r="G38" s="56">
        <v>4</v>
      </c>
      <c r="H38" s="56">
        <v>7</v>
      </c>
      <c r="I38" s="56">
        <v>1</v>
      </c>
      <c r="J38" s="52">
        <f t="shared" si="0"/>
        <v>86.5</v>
      </c>
      <c r="K38" s="53"/>
      <c r="L38" s="53"/>
      <c r="M38" s="53"/>
    </row>
    <row r="39" spans="1:13" ht="14.25" customHeight="1" x14ac:dyDescent="0.25">
      <c r="A39" s="50" t="s">
        <v>65</v>
      </c>
      <c r="B39" s="56">
        <v>0</v>
      </c>
      <c r="C39" s="56">
        <v>0</v>
      </c>
      <c r="D39" s="56">
        <v>66</v>
      </c>
      <c r="E39" s="56">
        <v>1</v>
      </c>
      <c r="F39" s="56">
        <v>0</v>
      </c>
      <c r="G39" s="56">
        <v>3</v>
      </c>
      <c r="H39" s="56">
        <v>4</v>
      </c>
      <c r="I39" s="56">
        <v>0</v>
      </c>
      <c r="J39" s="52">
        <f t="shared" si="0"/>
        <v>86</v>
      </c>
      <c r="K39" s="54">
        <f>J39+J38</f>
        <v>172.5</v>
      </c>
      <c r="L39" s="55"/>
      <c r="M39" s="55"/>
    </row>
    <row r="40" spans="1:13" ht="14.25" customHeight="1" x14ac:dyDescent="0.25">
      <c r="A40" s="50" t="s">
        <v>66</v>
      </c>
      <c r="B40" s="56">
        <v>0</v>
      </c>
      <c r="C40" s="56">
        <v>1</v>
      </c>
      <c r="D40" s="56">
        <v>66</v>
      </c>
      <c r="E40" s="56">
        <v>3</v>
      </c>
      <c r="F40" s="56">
        <v>0</v>
      </c>
      <c r="G40" s="56">
        <v>1</v>
      </c>
      <c r="H40" s="56">
        <v>8</v>
      </c>
      <c r="I40" s="56">
        <v>0</v>
      </c>
      <c r="J40" s="52">
        <f t="shared" si="0"/>
        <v>98.5</v>
      </c>
      <c r="K40" s="53"/>
      <c r="L40" s="54"/>
      <c r="M40" s="54"/>
    </row>
    <row r="41" spans="1:13" ht="14.25" customHeight="1" x14ac:dyDescent="0.25">
      <c r="A41" s="50" t="s">
        <v>67</v>
      </c>
      <c r="B41" s="56">
        <v>0</v>
      </c>
      <c r="C41" s="56">
        <v>0</v>
      </c>
      <c r="D41" s="56">
        <v>68</v>
      </c>
      <c r="E41" s="56">
        <v>1</v>
      </c>
      <c r="F41" s="56">
        <v>0</v>
      </c>
      <c r="G41" s="56">
        <v>3</v>
      </c>
      <c r="H41" s="56">
        <v>5</v>
      </c>
      <c r="I41" s="56">
        <v>0</v>
      </c>
      <c r="J41" s="52">
        <f t="shared" si="0"/>
        <v>91</v>
      </c>
      <c r="K41" s="54">
        <f>J41+J40</f>
        <v>189.5</v>
      </c>
      <c r="L41" s="54">
        <f>SUM(J38:J41)</f>
        <v>362</v>
      </c>
      <c r="M41" s="54">
        <f>SUM(C38:I41)</f>
        <v>298</v>
      </c>
    </row>
    <row r="42" spans="1:13" ht="14.25" customHeight="1" x14ac:dyDescent="0.25">
      <c r="A42" s="50" t="s">
        <v>68</v>
      </c>
      <c r="B42" s="56">
        <v>0</v>
      </c>
      <c r="C42" s="56">
        <v>0</v>
      </c>
      <c r="D42" s="56">
        <v>70</v>
      </c>
      <c r="E42" s="56">
        <v>0</v>
      </c>
      <c r="F42" s="56">
        <v>0</v>
      </c>
      <c r="G42" s="56">
        <v>0</v>
      </c>
      <c r="H42" s="56">
        <v>6</v>
      </c>
      <c r="I42" s="56">
        <v>1</v>
      </c>
      <c r="J42" s="52">
        <f t="shared" si="0"/>
        <v>90</v>
      </c>
      <c r="K42" s="53"/>
      <c r="L42" s="53"/>
      <c r="M42" s="53"/>
    </row>
    <row r="43" spans="1:13" ht="14.25" customHeight="1" x14ac:dyDescent="0.25">
      <c r="A43" s="50" t="s">
        <v>69</v>
      </c>
      <c r="B43" s="56">
        <v>0</v>
      </c>
      <c r="C43" s="56">
        <v>0</v>
      </c>
      <c r="D43" s="56">
        <v>69</v>
      </c>
      <c r="E43" s="56">
        <v>3</v>
      </c>
      <c r="F43" s="56">
        <v>0</v>
      </c>
      <c r="G43" s="56">
        <v>2</v>
      </c>
      <c r="H43" s="56">
        <v>5</v>
      </c>
      <c r="I43" s="56">
        <v>0</v>
      </c>
      <c r="J43" s="52">
        <f t="shared" si="0"/>
        <v>94</v>
      </c>
      <c r="K43" s="54">
        <f>J43+J42</f>
        <v>184</v>
      </c>
      <c r="L43" s="55"/>
      <c r="M43" s="55"/>
    </row>
    <row r="44" spans="1:13" ht="14.25" customHeight="1" x14ac:dyDescent="0.25">
      <c r="A44" s="50" t="s">
        <v>70</v>
      </c>
      <c r="B44" s="56">
        <v>0</v>
      </c>
      <c r="C44" s="56">
        <v>0</v>
      </c>
      <c r="D44" s="56">
        <v>77</v>
      </c>
      <c r="E44" s="56">
        <v>2</v>
      </c>
      <c r="F44" s="56">
        <v>0</v>
      </c>
      <c r="G44" s="56">
        <v>5</v>
      </c>
      <c r="H44" s="56">
        <v>5</v>
      </c>
      <c r="I44" s="56">
        <v>0</v>
      </c>
      <c r="J44" s="52">
        <f t="shared" si="0"/>
        <v>106</v>
      </c>
      <c r="K44" s="53"/>
      <c r="L44" s="54"/>
      <c r="M44" s="54"/>
    </row>
    <row r="45" spans="1:13" ht="14.25" customHeight="1" x14ac:dyDescent="0.25">
      <c r="A45" s="50" t="s">
        <v>71</v>
      </c>
      <c r="B45" s="56">
        <v>0</v>
      </c>
      <c r="C45" s="56">
        <v>4</v>
      </c>
      <c r="D45" s="56">
        <v>57</v>
      </c>
      <c r="E45" s="56">
        <v>0</v>
      </c>
      <c r="F45" s="56">
        <v>0</v>
      </c>
      <c r="G45" s="56">
        <v>4</v>
      </c>
      <c r="H45" s="56">
        <v>6</v>
      </c>
      <c r="I45" s="56">
        <v>0</v>
      </c>
      <c r="J45" s="52">
        <f t="shared" si="0"/>
        <v>85</v>
      </c>
      <c r="K45" s="54">
        <f>J45+J44</f>
        <v>191</v>
      </c>
      <c r="L45" s="54">
        <f>SUM(J42:J45)</f>
        <v>375</v>
      </c>
      <c r="M45" s="54">
        <f>SUM(C42:I45)</f>
        <v>316</v>
      </c>
    </row>
    <row r="46" spans="1:13" ht="14.25" customHeight="1" x14ac:dyDescent="0.25">
      <c r="A46" s="50" t="s">
        <v>72</v>
      </c>
      <c r="B46" s="56">
        <v>0</v>
      </c>
      <c r="C46" s="56">
        <v>0</v>
      </c>
      <c r="D46" s="56">
        <v>86</v>
      </c>
      <c r="E46" s="56">
        <v>1</v>
      </c>
      <c r="F46" s="56">
        <v>0</v>
      </c>
      <c r="G46" s="56">
        <v>2</v>
      </c>
      <c r="H46" s="56">
        <v>5</v>
      </c>
      <c r="I46" s="56">
        <v>0</v>
      </c>
      <c r="J46" s="52">
        <f t="shared" ref="J46:J77" si="1">SUMPRODUCT(B46:I46,$B$11:$I$11)</f>
        <v>107</v>
      </c>
      <c r="K46" s="53"/>
      <c r="L46" s="53"/>
      <c r="M46" s="53"/>
    </row>
    <row r="47" spans="1:13" ht="14.25" customHeight="1" x14ac:dyDescent="0.25">
      <c r="A47" s="50" t="s">
        <v>73</v>
      </c>
      <c r="B47" s="56">
        <v>0</v>
      </c>
      <c r="C47" s="56">
        <v>1</v>
      </c>
      <c r="D47" s="56">
        <v>77</v>
      </c>
      <c r="E47" s="56">
        <v>1</v>
      </c>
      <c r="F47" s="56">
        <v>0</v>
      </c>
      <c r="G47" s="56">
        <v>1</v>
      </c>
      <c r="H47" s="56">
        <v>5</v>
      </c>
      <c r="I47" s="56">
        <v>0</v>
      </c>
      <c r="J47" s="52">
        <f t="shared" si="1"/>
        <v>96.5</v>
      </c>
      <c r="K47" s="54">
        <f>J47+J46</f>
        <v>203.5</v>
      </c>
      <c r="L47" s="55"/>
      <c r="M47" s="55"/>
    </row>
    <row r="48" spans="1:13" ht="14.25" customHeight="1" x14ac:dyDescent="0.25">
      <c r="A48" s="50" t="s">
        <v>74</v>
      </c>
      <c r="B48" s="56">
        <v>0</v>
      </c>
      <c r="C48" s="56">
        <v>2</v>
      </c>
      <c r="D48" s="56">
        <v>78</v>
      </c>
      <c r="E48" s="56">
        <v>1</v>
      </c>
      <c r="F48" s="56">
        <v>0</v>
      </c>
      <c r="G48" s="56">
        <v>7</v>
      </c>
      <c r="H48" s="56">
        <v>8</v>
      </c>
      <c r="I48" s="56">
        <v>0</v>
      </c>
      <c r="J48" s="52">
        <f t="shared" si="1"/>
        <v>119</v>
      </c>
      <c r="K48" s="53"/>
      <c r="L48" s="54"/>
      <c r="M48" s="54"/>
    </row>
    <row r="49" spans="1:13" ht="14.25" customHeight="1" x14ac:dyDescent="0.25">
      <c r="A49" s="50" t="s">
        <v>75</v>
      </c>
      <c r="B49" s="56">
        <v>0</v>
      </c>
      <c r="C49" s="56">
        <v>1</v>
      </c>
      <c r="D49" s="56">
        <v>78</v>
      </c>
      <c r="E49" s="56">
        <v>0</v>
      </c>
      <c r="F49" s="56">
        <v>0</v>
      </c>
      <c r="G49" s="56">
        <v>4</v>
      </c>
      <c r="H49" s="56">
        <v>8</v>
      </c>
      <c r="I49" s="56">
        <v>0</v>
      </c>
      <c r="J49" s="52">
        <f t="shared" si="1"/>
        <v>110.5</v>
      </c>
      <c r="K49" s="54">
        <f>J49+J48</f>
        <v>229.5</v>
      </c>
      <c r="L49" s="54">
        <f>SUM(J46:J49)</f>
        <v>433</v>
      </c>
      <c r="M49" s="54">
        <f>SUM(C46:I49)</f>
        <v>366</v>
      </c>
    </row>
    <row r="50" spans="1:13" ht="14.25" customHeight="1" x14ac:dyDescent="0.25">
      <c r="A50" s="50" t="s">
        <v>76</v>
      </c>
      <c r="B50" s="56">
        <v>0</v>
      </c>
      <c r="C50" s="56">
        <v>0</v>
      </c>
      <c r="D50" s="56">
        <v>76</v>
      </c>
      <c r="E50" s="56">
        <v>1</v>
      </c>
      <c r="F50" s="56">
        <v>0</v>
      </c>
      <c r="G50" s="56">
        <v>3</v>
      </c>
      <c r="H50" s="56">
        <v>2</v>
      </c>
      <c r="I50" s="56">
        <v>1</v>
      </c>
      <c r="J50" s="52">
        <f t="shared" si="1"/>
        <v>92</v>
      </c>
      <c r="K50" s="53"/>
      <c r="L50" s="53"/>
      <c r="M50" s="53"/>
    </row>
    <row r="51" spans="1:13" ht="14.25" customHeight="1" x14ac:dyDescent="0.25">
      <c r="A51" s="50" t="s">
        <v>77</v>
      </c>
      <c r="B51" s="56">
        <v>0</v>
      </c>
      <c r="C51" s="56">
        <v>1</v>
      </c>
      <c r="D51" s="56">
        <v>86</v>
      </c>
      <c r="E51" s="56">
        <v>3</v>
      </c>
      <c r="F51" s="56">
        <v>0</v>
      </c>
      <c r="G51" s="56">
        <v>3</v>
      </c>
      <c r="H51" s="56">
        <v>4</v>
      </c>
      <c r="I51" s="56">
        <v>0</v>
      </c>
      <c r="J51" s="52">
        <f t="shared" si="1"/>
        <v>110.5</v>
      </c>
      <c r="K51" s="54">
        <f>J51+J50</f>
        <v>202.5</v>
      </c>
      <c r="L51" s="55"/>
      <c r="M51" s="55"/>
    </row>
    <row r="52" spans="1:13" ht="14.25" customHeight="1" x14ac:dyDescent="0.25">
      <c r="A52" s="50" t="s">
        <v>78</v>
      </c>
      <c r="B52" s="56">
        <v>0</v>
      </c>
      <c r="C52" s="56">
        <v>1</v>
      </c>
      <c r="D52" s="56">
        <v>91</v>
      </c>
      <c r="E52" s="56">
        <v>1</v>
      </c>
      <c r="F52" s="56">
        <v>0</v>
      </c>
      <c r="G52" s="56">
        <v>4</v>
      </c>
      <c r="H52" s="56">
        <v>6</v>
      </c>
      <c r="I52" s="56">
        <v>1</v>
      </c>
      <c r="J52" s="52">
        <f t="shared" si="1"/>
        <v>121.5</v>
      </c>
      <c r="K52" s="53"/>
      <c r="L52" s="54"/>
      <c r="M52" s="54"/>
    </row>
    <row r="53" spans="1:13" ht="14.25" customHeight="1" x14ac:dyDescent="0.25">
      <c r="A53" s="50" t="s">
        <v>79</v>
      </c>
      <c r="B53" s="56">
        <v>0</v>
      </c>
      <c r="C53" s="56">
        <v>1</v>
      </c>
      <c r="D53" s="56">
        <v>82</v>
      </c>
      <c r="E53" s="56">
        <v>1</v>
      </c>
      <c r="F53" s="56">
        <v>0</v>
      </c>
      <c r="G53" s="56">
        <v>3</v>
      </c>
      <c r="H53" s="56">
        <v>5</v>
      </c>
      <c r="I53" s="56">
        <v>0</v>
      </c>
      <c r="J53" s="52">
        <f t="shared" si="1"/>
        <v>105.5</v>
      </c>
      <c r="K53" s="54">
        <f>J53+J52</f>
        <v>227</v>
      </c>
      <c r="L53" s="54">
        <f>SUM(J50:J53)</f>
        <v>429.5</v>
      </c>
      <c r="M53" s="54">
        <f>SUM(C50:I53)</f>
        <v>376</v>
      </c>
    </row>
    <row r="54" spans="1:13" ht="14.25" customHeight="1" x14ac:dyDescent="0.25">
      <c r="A54" s="50" t="s">
        <v>80</v>
      </c>
      <c r="B54" s="56">
        <v>0</v>
      </c>
      <c r="C54" s="56">
        <v>1</v>
      </c>
      <c r="D54" s="56">
        <v>82</v>
      </c>
      <c r="E54" s="56">
        <v>2</v>
      </c>
      <c r="F54" s="56">
        <v>0</v>
      </c>
      <c r="G54" s="56">
        <v>2</v>
      </c>
      <c r="H54" s="56">
        <v>1</v>
      </c>
      <c r="I54" s="56">
        <v>0</v>
      </c>
      <c r="J54" s="52">
        <f t="shared" si="1"/>
        <v>93.5</v>
      </c>
      <c r="K54" s="53"/>
      <c r="L54" s="53"/>
      <c r="M54" s="53"/>
    </row>
    <row r="55" spans="1:13" ht="14.25" customHeight="1" x14ac:dyDescent="0.25">
      <c r="A55" s="50" t="s">
        <v>81</v>
      </c>
      <c r="B55" s="56">
        <v>0</v>
      </c>
      <c r="C55" s="56">
        <v>4</v>
      </c>
      <c r="D55" s="56">
        <v>94</v>
      </c>
      <c r="E55" s="56">
        <v>1</v>
      </c>
      <c r="F55" s="56">
        <v>0</v>
      </c>
      <c r="G55" s="56">
        <v>2</v>
      </c>
      <c r="H55" s="56">
        <v>4</v>
      </c>
      <c r="I55" s="56">
        <v>3</v>
      </c>
      <c r="J55" s="52">
        <f t="shared" si="1"/>
        <v>120</v>
      </c>
      <c r="K55" s="54">
        <f>J55+J54</f>
        <v>213.5</v>
      </c>
      <c r="L55" s="55"/>
      <c r="M55" s="55"/>
    </row>
    <row r="56" spans="1:13" ht="14.25" customHeight="1" x14ac:dyDescent="0.25">
      <c r="A56" s="50" t="s">
        <v>82</v>
      </c>
      <c r="B56" s="56">
        <v>0</v>
      </c>
      <c r="C56" s="56">
        <v>5</v>
      </c>
      <c r="D56" s="56">
        <v>115</v>
      </c>
      <c r="E56" s="56">
        <v>1</v>
      </c>
      <c r="F56" s="56">
        <v>0</v>
      </c>
      <c r="G56" s="56">
        <v>2</v>
      </c>
      <c r="H56" s="56">
        <v>5</v>
      </c>
      <c r="I56" s="56">
        <v>2</v>
      </c>
      <c r="J56" s="52">
        <f t="shared" si="1"/>
        <v>142.5</v>
      </c>
      <c r="K56" s="53"/>
      <c r="L56" s="54"/>
      <c r="M56" s="54"/>
    </row>
    <row r="57" spans="1:13" ht="14.25" customHeight="1" x14ac:dyDescent="0.25">
      <c r="A57" s="50" t="s">
        <v>83</v>
      </c>
      <c r="B57" s="56">
        <v>0</v>
      </c>
      <c r="C57" s="56">
        <v>0</v>
      </c>
      <c r="D57" s="56">
        <v>95</v>
      </c>
      <c r="E57" s="56">
        <v>0</v>
      </c>
      <c r="F57" s="56">
        <v>0</v>
      </c>
      <c r="G57" s="56">
        <v>3</v>
      </c>
      <c r="H57" s="56">
        <v>7</v>
      </c>
      <c r="I57" s="56">
        <v>0</v>
      </c>
      <c r="J57" s="52">
        <f t="shared" si="1"/>
        <v>122</v>
      </c>
      <c r="K57" s="57">
        <f>J57+J56</f>
        <v>264.5</v>
      </c>
      <c r="L57" s="54">
        <f>SUM(J54:J57)</f>
        <v>478</v>
      </c>
      <c r="M57" s="54">
        <f>SUM(C54:I57)</f>
        <v>431</v>
      </c>
    </row>
    <row r="58" spans="1:13" ht="14.25" customHeight="1" x14ac:dyDescent="0.25">
      <c r="A58" s="50" t="s">
        <v>84</v>
      </c>
      <c r="B58" s="56">
        <v>0</v>
      </c>
      <c r="C58" s="56">
        <v>3</v>
      </c>
      <c r="D58" s="56">
        <v>125</v>
      </c>
      <c r="E58" s="56">
        <v>1</v>
      </c>
      <c r="F58" s="56">
        <v>0</v>
      </c>
      <c r="G58" s="56">
        <v>4</v>
      </c>
      <c r="H58" s="56">
        <v>5</v>
      </c>
      <c r="I58" s="56">
        <v>0</v>
      </c>
      <c r="J58" s="52">
        <f t="shared" si="1"/>
        <v>151.5</v>
      </c>
      <c r="K58" s="53"/>
      <c r="L58" s="53"/>
      <c r="M58" s="53"/>
    </row>
    <row r="59" spans="1:13" ht="14.25" customHeight="1" x14ac:dyDescent="0.25">
      <c r="A59" s="50" t="s">
        <v>85</v>
      </c>
      <c r="B59" s="56">
        <v>0</v>
      </c>
      <c r="C59" s="56">
        <v>2</v>
      </c>
      <c r="D59" s="56">
        <v>130</v>
      </c>
      <c r="E59" s="56">
        <v>1</v>
      </c>
      <c r="F59" s="56">
        <v>0</v>
      </c>
      <c r="G59" s="56">
        <v>4</v>
      </c>
      <c r="H59" s="56">
        <v>1</v>
      </c>
      <c r="I59" s="56">
        <v>1</v>
      </c>
      <c r="J59" s="52">
        <f t="shared" si="1"/>
        <v>146</v>
      </c>
      <c r="K59" s="54">
        <f>J59+J58</f>
        <v>297.5</v>
      </c>
      <c r="L59" s="55"/>
      <c r="M59" s="55"/>
    </row>
    <row r="60" spans="1:13" ht="14.25" customHeight="1" x14ac:dyDescent="0.25">
      <c r="A60" s="50" t="s">
        <v>86</v>
      </c>
      <c r="B60" s="56">
        <v>1</v>
      </c>
      <c r="C60" s="56">
        <v>1</v>
      </c>
      <c r="D60" s="56">
        <v>120</v>
      </c>
      <c r="E60" s="56">
        <v>2</v>
      </c>
      <c r="F60" s="56">
        <v>0</v>
      </c>
      <c r="G60" s="56">
        <v>4</v>
      </c>
      <c r="H60" s="56">
        <v>4</v>
      </c>
      <c r="I60" s="56">
        <v>0</v>
      </c>
      <c r="J60" s="52">
        <f t="shared" si="1"/>
        <v>144.80000000000001</v>
      </c>
      <c r="K60" s="53"/>
      <c r="L60" s="54"/>
      <c r="M60" s="54"/>
    </row>
    <row r="61" spans="1:13" ht="14.25" customHeight="1" x14ac:dyDescent="0.25">
      <c r="A61" s="50" t="s">
        <v>87</v>
      </c>
      <c r="B61" s="56">
        <v>0</v>
      </c>
      <c r="C61" s="56">
        <v>5</v>
      </c>
      <c r="D61" s="56">
        <v>142</v>
      </c>
      <c r="E61" s="56">
        <v>0</v>
      </c>
      <c r="F61" s="56">
        <v>0</v>
      </c>
      <c r="G61" s="56">
        <v>1</v>
      </c>
      <c r="H61" s="56">
        <v>1</v>
      </c>
      <c r="I61" s="56">
        <v>0</v>
      </c>
      <c r="J61" s="52">
        <f t="shared" si="1"/>
        <v>149.5</v>
      </c>
      <c r="K61" s="54">
        <f>J61+J60</f>
        <v>294.3</v>
      </c>
      <c r="L61" s="54">
        <f>SUM(J58:J61)</f>
        <v>591.79999999999995</v>
      </c>
      <c r="M61" s="54">
        <f>SUM(C58:I61)</f>
        <v>557</v>
      </c>
    </row>
    <row r="62" spans="1:13" ht="14.25" customHeight="1" x14ac:dyDescent="0.25">
      <c r="A62" s="50" t="s">
        <v>88</v>
      </c>
      <c r="B62" s="56">
        <v>0</v>
      </c>
      <c r="C62" s="56">
        <v>2</v>
      </c>
      <c r="D62" s="56">
        <v>126</v>
      </c>
      <c r="E62" s="56">
        <v>1</v>
      </c>
      <c r="F62" s="56">
        <v>0</v>
      </c>
      <c r="G62" s="56">
        <v>2</v>
      </c>
      <c r="H62" s="56">
        <v>6</v>
      </c>
      <c r="I62" s="56">
        <v>0</v>
      </c>
      <c r="J62" s="52">
        <f t="shared" si="1"/>
        <v>151</v>
      </c>
      <c r="K62" s="53"/>
      <c r="L62" s="53"/>
      <c r="M62" s="53"/>
    </row>
    <row r="63" spans="1:13" ht="14.25" customHeight="1" x14ac:dyDescent="0.25">
      <c r="A63" s="50" t="s">
        <v>89</v>
      </c>
      <c r="B63" s="56">
        <v>0</v>
      </c>
      <c r="C63" s="56">
        <v>0</v>
      </c>
      <c r="D63" s="56">
        <v>127</v>
      </c>
      <c r="E63" s="56">
        <v>1</v>
      </c>
      <c r="F63" s="56">
        <v>0</v>
      </c>
      <c r="G63" s="56">
        <v>2</v>
      </c>
      <c r="H63" s="56">
        <v>3</v>
      </c>
      <c r="I63" s="56">
        <v>0</v>
      </c>
      <c r="J63" s="52">
        <f t="shared" si="1"/>
        <v>142</v>
      </c>
      <c r="K63" s="54">
        <f>J63+J62</f>
        <v>293</v>
      </c>
      <c r="L63" s="55"/>
      <c r="M63" s="55"/>
    </row>
    <row r="64" spans="1:13" ht="14.25" customHeight="1" x14ac:dyDescent="0.25">
      <c r="A64" s="50" t="s">
        <v>90</v>
      </c>
      <c r="B64" s="56">
        <v>0</v>
      </c>
      <c r="C64" s="56">
        <v>0</v>
      </c>
      <c r="D64" s="56">
        <v>127</v>
      </c>
      <c r="E64" s="56">
        <v>2</v>
      </c>
      <c r="F64" s="56">
        <v>0</v>
      </c>
      <c r="G64" s="56">
        <v>0</v>
      </c>
      <c r="H64" s="56">
        <v>2</v>
      </c>
      <c r="I64" s="56">
        <v>0</v>
      </c>
      <c r="J64" s="52">
        <f t="shared" si="1"/>
        <v>137</v>
      </c>
      <c r="K64" s="53"/>
      <c r="L64" s="54"/>
      <c r="M64" s="54"/>
    </row>
    <row r="65" spans="1:13" ht="14.25" customHeight="1" x14ac:dyDescent="0.25">
      <c r="A65" s="50" t="s">
        <v>91</v>
      </c>
      <c r="B65" s="56">
        <v>0</v>
      </c>
      <c r="C65" s="56">
        <v>1</v>
      </c>
      <c r="D65" s="56">
        <v>102</v>
      </c>
      <c r="E65" s="56">
        <v>1</v>
      </c>
      <c r="F65" s="56">
        <v>0</v>
      </c>
      <c r="G65" s="56">
        <v>1</v>
      </c>
      <c r="H65" s="56">
        <v>0</v>
      </c>
      <c r="I65" s="56">
        <v>0</v>
      </c>
      <c r="J65" s="52">
        <f t="shared" si="1"/>
        <v>106.5</v>
      </c>
      <c r="K65" s="54">
        <f>J65+J64</f>
        <v>243.5</v>
      </c>
      <c r="L65" s="54">
        <f>SUM(J62:J65)</f>
        <v>536.5</v>
      </c>
      <c r="M65" s="54">
        <f>SUM(C62:I65)</f>
        <v>506</v>
      </c>
    </row>
    <row r="66" spans="1:13" ht="14.25" customHeight="1" x14ac:dyDescent="0.25">
      <c r="A66" s="50" t="s">
        <v>92</v>
      </c>
      <c r="B66" s="56">
        <v>0</v>
      </c>
      <c r="C66" s="56">
        <v>1</v>
      </c>
      <c r="D66" s="56">
        <v>87</v>
      </c>
      <c r="E66" s="56">
        <v>1</v>
      </c>
      <c r="F66" s="56">
        <v>1</v>
      </c>
      <c r="G66" s="56">
        <v>0</v>
      </c>
      <c r="H66" s="56">
        <v>5</v>
      </c>
      <c r="I66" s="56">
        <v>0</v>
      </c>
      <c r="J66" s="52">
        <f t="shared" si="1"/>
        <v>106.5</v>
      </c>
      <c r="K66" s="53"/>
      <c r="L66" s="53"/>
      <c r="M66" s="53"/>
    </row>
    <row r="67" spans="1:13" ht="14.25" customHeight="1" x14ac:dyDescent="0.25">
      <c r="A67" s="50" t="s">
        <v>93</v>
      </c>
      <c r="B67" s="56">
        <v>0</v>
      </c>
      <c r="C67" s="56">
        <v>0</v>
      </c>
      <c r="D67" s="56">
        <v>77</v>
      </c>
      <c r="E67" s="56">
        <v>1</v>
      </c>
      <c r="F67" s="56">
        <v>1</v>
      </c>
      <c r="G67" s="56">
        <v>0</v>
      </c>
      <c r="H67" s="56">
        <v>2</v>
      </c>
      <c r="I67" s="56">
        <v>0</v>
      </c>
      <c r="J67" s="52">
        <f t="shared" si="1"/>
        <v>87</v>
      </c>
      <c r="K67" s="54">
        <f>J67+J66</f>
        <v>193.5</v>
      </c>
      <c r="L67" s="55"/>
      <c r="M67" s="55"/>
    </row>
    <row r="68" spans="1:13" ht="14.25" customHeight="1" x14ac:dyDescent="0.25">
      <c r="A68" s="50" t="s">
        <v>94</v>
      </c>
      <c r="B68" s="56">
        <v>0</v>
      </c>
      <c r="C68" s="56">
        <v>0</v>
      </c>
      <c r="D68" s="56">
        <v>65</v>
      </c>
      <c r="E68" s="56">
        <v>2</v>
      </c>
      <c r="F68" s="56">
        <v>0</v>
      </c>
      <c r="G68" s="56">
        <v>1</v>
      </c>
      <c r="H68" s="56">
        <v>3</v>
      </c>
      <c r="I68" s="56">
        <v>1</v>
      </c>
      <c r="J68" s="52">
        <f t="shared" si="1"/>
        <v>82</v>
      </c>
      <c r="K68" s="53"/>
      <c r="L68" s="54"/>
      <c r="M68" s="54"/>
    </row>
    <row r="69" spans="1:13" ht="14.25" customHeight="1" x14ac:dyDescent="0.25">
      <c r="A69" s="50" t="s">
        <v>95</v>
      </c>
      <c r="B69" s="56">
        <v>0</v>
      </c>
      <c r="C69" s="56">
        <v>0</v>
      </c>
      <c r="D69" s="56">
        <v>70</v>
      </c>
      <c r="E69" s="56">
        <v>0</v>
      </c>
      <c r="F69" s="56">
        <v>0</v>
      </c>
      <c r="G69" s="56">
        <v>0</v>
      </c>
      <c r="H69" s="56">
        <v>0</v>
      </c>
      <c r="I69" s="56">
        <v>1</v>
      </c>
      <c r="J69" s="52">
        <f t="shared" si="1"/>
        <v>72</v>
      </c>
      <c r="K69" s="54">
        <f>J69+J68</f>
        <v>154</v>
      </c>
      <c r="L69" s="54">
        <f>SUM(J66:J69)</f>
        <v>347.5</v>
      </c>
      <c r="M69" s="54">
        <f>SUM(C66:I69)</f>
        <v>319</v>
      </c>
    </row>
    <row r="70" spans="1:13" ht="14.25" customHeight="1" x14ac:dyDescent="0.25">
      <c r="A70" s="50" t="s">
        <v>96</v>
      </c>
      <c r="B70" s="51"/>
      <c r="C70" s="51"/>
      <c r="D70" s="51"/>
      <c r="E70" s="51"/>
      <c r="F70" s="51"/>
      <c r="G70" s="51"/>
      <c r="H70" s="51"/>
      <c r="I70" s="51"/>
      <c r="J70" s="52">
        <f t="shared" si="1"/>
        <v>0</v>
      </c>
      <c r="K70" s="53"/>
      <c r="L70" s="53"/>
      <c r="M70" s="53"/>
    </row>
    <row r="71" spans="1:13" ht="14.25" customHeight="1" x14ac:dyDescent="0.25">
      <c r="A71" s="50" t="s">
        <v>97</v>
      </c>
      <c r="B71" s="51"/>
      <c r="C71" s="51"/>
      <c r="D71" s="51"/>
      <c r="E71" s="51"/>
      <c r="F71" s="51"/>
      <c r="G71" s="51"/>
      <c r="H71" s="51"/>
      <c r="I71" s="51"/>
      <c r="J71" s="52">
        <f t="shared" si="1"/>
        <v>0</v>
      </c>
      <c r="K71" s="54">
        <f>J71+J70</f>
        <v>0</v>
      </c>
      <c r="L71" s="55"/>
      <c r="M71" s="55"/>
    </row>
    <row r="72" spans="1:13" ht="14.25" customHeight="1" x14ac:dyDescent="0.25">
      <c r="A72" s="50" t="s">
        <v>98</v>
      </c>
      <c r="B72" s="51"/>
      <c r="C72" s="51"/>
      <c r="D72" s="51"/>
      <c r="E72" s="51"/>
      <c r="F72" s="51"/>
      <c r="G72" s="51"/>
      <c r="H72" s="51"/>
      <c r="I72" s="51"/>
      <c r="J72" s="52">
        <f t="shared" si="1"/>
        <v>0</v>
      </c>
      <c r="K72" s="53"/>
      <c r="L72" s="54"/>
      <c r="M72" s="54"/>
    </row>
    <row r="73" spans="1:13" ht="14.25" customHeight="1" x14ac:dyDescent="0.25">
      <c r="A73" s="58" t="s">
        <v>99</v>
      </c>
      <c r="B73" s="51"/>
      <c r="C73" s="51"/>
      <c r="D73" s="51"/>
      <c r="E73" s="51"/>
      <c r="F73" s="51"/>
      <c r="G73" s="51"/>
      <c r="H73" s="51"/>
      <c r="I73" s="51"/>
      <c r="J73" s="52">
        <f t="shared" si="1"/>
        <v>0</v>
      </c>
      <c r="K73" s="54">
        <f>J73+J72</f>
        <v>0</v>
      </c>
      <c r="L73" s="54">
        <f>SUM(J70:J73)</f>
        <v>0</v>
      </c>
      <c r="M73" s="54">
        <f>SUM(C70:I73)</f>
        <v>0</v>
      </c>
    </row>
    <row r="74" spans="1:13" ht="14.25" customHeight="1" x14ac:dyDescent="0.25">
      <c r="A74" s="59" t="s">
        <v>100</v>
      </c>
      <c r="B74" s="51"/>
      <c r="C74" s="51"/>
      <c r="D74" s="51"/>
      <c r="E74" s="51"/>
      <c r="F74" s="51"/>
      <c r="G74" s="51"/>
      <c r="H74" s="51"/>
      <c r="I74" s="51"/>
      <c r="J74" s="52">
        <f t="shared" si="1"/>
        <v>0</v>
      </c>
      <c r="K74" s="53"/>
      <c r="L74" s="53"/>
      <c r="M74" s="53"/>
    </row>
    <row r="75" spans="1:13" ht="14.25" customHeight="1" x14ac:dyDescent="0.25">
      <c r="A75" s="59" t="s">
        <v>101</v>
      </c>
      <c r="B75" s="51"/>
      <c r="C75" s="51"/>
      <c r="D75" s="51"/>
      <c r="E75" s="51"/>
      <c r="F75" s="51"/>
      <c r="G75" s="51"/>
      <c r="H75" s="51"/>
      <c r="I75" s="51"/>
      <c r="J75" s="52">
        <f t="shared" si="1"/>
        <v>0</v>
      </c>
      <c r="K75" s="54">
        <f>J75+J74</f>
        <v>0</v>
      </c>
      <c r="L75" s="55"/>
      <c r="M75" s="55"/>
    </row>
    <row r="76" spans="1:13" ht="14.25" customHeight="1" x14ac:dyDescent="0.25">
      <c r="A76" s="59" t="s">
        <v>102</v>
      </c>
      <c r="B76" s="51"/>
      <c r="C76" s="51"/>
      <c r="D76" s="51"/>
      <c r="E76" s="51"/>
      <c r="F76" s="51"/>
      <c r="G76" s="51"/>
      <c r="H76" s="51"/>
      <c r="I76" s="51"/>
      <c r="J76" s="52">
        <f t="shared" si="1"/>
        <v>0</v>
      </c>
      <c r="K76" s="53"/>
      <c r="L76" s="54"/>
      <c r="M76" s="54"/>
    </row>
    <row r="77" spans="1:13" ht="14.25" customHeight="1" x14ac:dyDescent="0.25">
      <c r="A77" s="59" t="s">
        <v>103</v>
      </c>
      <c r="B77" s="51"/>
      <c r="C77" s="51"/>
      <c r="D77" s="51"/>
      <c r="E77" s="51"/>
      <c r="F77" s="51"/>
      <c r="G77" s="51"/>
      <c r="H77" s="51"/>
      <c r="I77" s="51"/>
      <c r="J77" s="52">
        <f t="shared" si="1"/>
        <v>0</v>
      </c>
      <c r="K77" s="54">
        <f>J77+J76</f>
        <v>0</v>
      </c>
      <c r="L77" s="54">
        <f>SUM(J74:J77)</f>
        <v>0</v>
      </c>
      <c r="M77" s="54">
        <f>SUM(C74:I77)</f>
        <v>0</v>
      </c>
    </row>
    <row r="78" spans="1:13" ht="14.25" customHeight="1" x14ac:dyDescent="0.25">
      <c r="A78" s="59" t="s">
        <v>104</v>
      </c>
      <c r="B78" s="51"/>
      <c r="C78" s="51"/>
      <c r="D78" s="51"/>
      <c r="E78" s="51"/>
      <c r="F78" s="51"/>
      <c r="G78" s="51"/>
      <c r="H78" s="51"/>
      <c r="I78" s="51"/>
      <c r="J78" s="52">
        <f t="shared" ref="J78:J109" si="2">SUMPRODUCT(B78:I78,$B$11:$I$11)</f>
        <v>0</v>
      </c>
      <c r="K78" s="53"/>
      <c r="L78" s="53"/>
      <c r="M78" s="53"/>
    </row>
    <row r="79" spans="1:13" ht="14.25" customHeight="1" x14ac:dyDescent="0.25">
      <c r="A79" s="59" t="s">
        <v>105</v>
      </c>
      <c r="B79" s="51"/>
      <c r="C79" s="51"/>
      <c r="D79" s="51"/>
      <c r="E79" s="51"/>
      <c r="F79" s="51"/>
      <c r="G79" s="51"/>
      <c r="H79" s="51"/>
      <c r="I79" s="51"/>
      <c r="J79" s="52">
        <f t="shared" si="2"/>
        <v>0</v>
      </c>
      <c r="K79" s="54">
        <f>J79+J78</f>
        <v>0</v>
      </c>
      <c r="L79" s="55"/>
      <c r="M79" s="55"/>
    </row>
    <row r="80" spans="1:13" ht="14.25" customHeight="1" x14ac:dyDescent="0.25">
      <c r="A80" s="59" t="s">
        <v>106</v>
      </c>
      <c r="B80" s="51"/>
      <c r="C80" s="51"/>
      <c r="D80" s="51"/>
      <c r="E80" s="51"/>
      <c r="F80" s="51"/>
      <c r="G80" s="51"/>
      <c r="H80" s="51"/>
      <c r="I80" s="51"/>
      <c r="J80" s="52">
        <f t="shared" si="2"/>
        <v>0</v>
      </c>
      <c r="K80" s="53"/>
      <c r="L80" s="54"/>
      <c r="M80" s="54"/>
    </row>
    <row r="81" spans="1:13" ht="14.25" customHeight="1" x14ac:dyDescent="0.25">
      <c r="A81" s="59" t="s">
        <v>107</v>
      </c>
      <c r="B81" s="51"/>
      <c r="C81" s="51"/>
      <c r="D81" s="51"/>
      <c r="E81" s="51"/>
      <c r="F81" s="51"/>
      <c r="G81" s="51"/>
      <c r="H81" s="51"/>
      <c r="I81" s="51"/>
      <c r="J81" s="52">
        <f t="shared" si="2"/>
        <v>0</v>
      </c>
      <c r="K81" s="54">
        <f>J81+J80</f>
        <v>0</v>
      </c>
      <c r="L81" s="54">
        <f>SUM(J78:J81)</f>
        <v>0</v>
      </c>
      <c r="M81" s="54">
        <f>SUM(C78:I81)</f>
        <v>0</v>
      </c>
    </row>
    <row r="82" spans="1:13" ht="14.25" customHeight="1" x14ac:dyDescent="0.45">
      <c r="A82" s="60" t="s">
        <v>108</v>
      </c>
      <c r="B82" s="61">
        <f>SUM(B$14:B81)</f>
        <v>2</v>
      </c>
      <c r="C82" s="61">
        <f>SUM(C$14:C81)</f>
        <v>39</v>
      </c>
      <c r="D82" s="61">
        <f>SUM(D$14:D81)</f>
        <v>4067</v>
      </c>
      <c r="E82" s="61">
        <f>SUM(E$14:E81)</f>
        <v>49</v>
      </c>
      <c r="F82" s="61">
        <f>SUM(F$14:F81)</f>
        <v>2</v>
      </c>
      <c r="G82" s="61">
        <f>SUM(G$14:G81)</f>
        <v>133</v>
      </c>
      <c r="H82" s="61">
        <f>SUM(H$14:H81)</f>
        <v>232</v>
      </c>
      <c r="I82" s="61">
        <f>SUM(I$14:I81)</f>
        <v>16</v>
      </c>
      <c r="J82" s="61">
        <f>SUM(B82:I82)</f>
        <v>4540</v>
      </c>
      <c r="K82" s="62"/>
      <c r="L82" s="63"/>
      <c r="M82" s="63"/>
    </row>
    <row r="83" spans="1:13" ht="14.25" customHeight="1" x14ac:dyDescent="0.25"/>
    <row r="84" spans="1:13" ht="14.25" customHeight="1" x14ac:dyDescent="0.25"/>
    <row r="85" spans="1:13" ht="14.25" customHeight="1" x14ac:dyDescent="0.25"/>
    <row r="86" spans="1:13" ht="14.25" customHeight="1" x14ac:dyDescent="0.25"/>
    <row r="87" spans="1:13" ht="14.25" customHeight="1" x14ac:dyDescent="0.25"/>
    <row r="88" spans="1:13" ht="14.25" customHeight="1" x14ac:dyDescent="0.25"/>
    <row r="89" spans="1:13" ht="14.25" customHeight="1" x14ac:dyDescent="0.25"/>
    <row r="90" spans="1:13" ht="14.25" customHeight="1" x14ac:dyDescent="0.25"/>
    <row r="91" spans="1:13" ht="14.25" customHeight="1" x14ac:dyDescent="0.25"/>
    <row r="92" spans="1:13" ht="14.25" customHeight="1" x14ac:dyDescent="0.25"/>
    <row r="93" spans="1:13" ht="14.25" customHeight="1" x14ac:dyDescent="0.25"/>
    <row r="94" spans="1:13" ht="14.25" customHeight="1" x14ac:dyDescent="0.25"/>
    <row r="95" spans="1:13" ht="14.25" customHeight="1" x14ac:dyDescent="0.25"/>
    <row r="96" spans="1:1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</sheetData>
  <mergeCells count="2">
    <mergeCell ref="A3:M3"/>
    <mergeCell ref="A4:M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975"/>
  <sheetViews>
    <sheetView zoomScale="85" zoomScaleNormal="85" workbookViewId="0"/>
  </sheetViews>
  <sheetFormatPr defaultColWidth="15.90625" defaultRowHeight="12.75" customHeight="1" x14ac:dyDescent="0.25"/>
  <cols>
    <col min="1" max="1" width="14.453125" customWidth="1"/>
    <col min="2" max="9" width="6.90625" customWidth="1"/>
    <col min="10" max="13" width="7.453125" customWidth="1"/>
    <col min="16375" max="16384" width="11.54296875" customWidth="1"/>
  </cols>
  <sheetData>
    <row r="1" spans="1:13" ht="14.2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8.75" customHeight="1" x14ac:dyDescent="0.4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35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4.25" customHeight="1" x14ac:dyDescent="0.3">
      <c r="A5" s="24" t="s">
        <v>6</v>
      </c>
      <c r="B5" s="25"/>
      <c r="C5" s="26"/>
      <c r="D5" s="27"/>
      <c r="E5" s="27"/>
      <c r="F5" s="25"/>
      <c r="G5" s="25"/>
      <c r="H5" s="28"/>
      <c r="I5" s="26"/>
      <c r="J5" s="27" t="s">
        <v>3</v>
      </c>
      <c r="K5" s="25">
        <v>0</v>
      </c>
      <c r="L5" s="29"/>
      <c r="M5" s="30"/>
    </row>
    <row r="6" spans="1:13" ht="14.25" customHeight="1" x14ac:dyDescent="0.3">
      <c r="A6" s="31">
        <f>Deckbl.!I11</f>
        <v>45944</v>
      </c>
      <c r="B6" s="9"/>
      <c r="C6" s="8"/>
      <c r="D6" s="8"/>
      <c r="E6" s="9"/>
      <c r="F6" s="9"/>
      <c r="G6" s="9"/>
      <c r="H6" s="9"/>
      <c r="I6" s="8"/>
      <c r="J6" s="12" t="s">
        <v>9</v>
      </c>
      <c r="K6" s="32" t="str">
        <f>Deckbl.!I12</f>
        <v>9-14 ° sonnig</v>
      </c>
      <c r="L6" s="33"/>
      <c r="M6" s="34"/>
    </row>
    <row r="7" spans="1:13" ht="14.25" customHeight="1" x14ac:dyDescent="0.3">
      <c r="A7" s="35"/>
      <c r="B7" s="12" t="s">
        <v>14</v>
      </c>
      <c r="C7" s="36" t="str">
        <f>Deckbl.!C8</f>
        <v>B122 / Badhaller Straße / Holznerweg (Bad Hall)</v>
      </c>
      <c r="D7" s="33"/>
      <c r="E7" s="37"/>
      <c r="F7" s="37"/>
      <c r="G7" s="37"/>
      <c r="H7" s="37"/>
      <c r="I7" s="38"/>
      <c r="J7" s="36"/>
      <c r="K7" s="37"/>
      <c r="L7" s="37"/>
      <c r="M7" s="39"/>
    </row>
    <row r="8" spans="1:13" ht="14.25" customHeight="1" x14ac:dyDescent="0.3">
      <c r="A8" s="35"/>
      <c r="B8" s="12" t="s">
        <v>15</v>
      </c>
      <c r="C8" s="33"/>
      <c r="D8" s="33"/>
      <c r="E8" s="37"/>
      <c r="F8" s="37"/>
      <c r="G8" s="37"/>
      <c r="H8" s="37"/>
      <c r="I8" s="38" t="s">
        <v>7</v>
      </c>
      <c r="J8" s="36" t="s">
        <v>16</v>
      </c>
      <c r="K8" s="40"/>
      <c r="L8" s="37"/>
      <c r="M8" s="39"/>
    </row>
    <row r="9" spans="1:13" ht="14.25" customHeight="1" x14ac:dyDescent="0.3">
      <c r="A9" s="35"/>
      <c r="B9" s="12" t="s">
        <v>17</v>
      </c>
      <c r="C9" s="41" t="s">
        <v>110</v>
      </c>
      <c r="D9" s="8"/>
      <c r="E9" s="9"/>
      <c r="F9" s="9"/>
      <c r="G9" s="9"/>
      <c r="H9" s="9"/>
      <c r="I9" s="12" t="s">
        <v>19</v>
      </c>
      <c r="J9" s="36" t="str">
        <f>Deckbl.!C11</f>
        <v>7-19 Uhr</v>
      </c>
      <c r="K9" s="37"/>
      <c r="L9" s="37"/>
      <c r="M9" s="39"/>
    </row>
    <row r="10" spans="1:13" ht="14.25" customHeight="1" x14ac:dyDescent="0.3">
      <c r="A10" s="35"/>
      <c r="B10" s="38" t="s">
        <v>20</v>
      </c>
      <c r="C10" s="42"/>
      <c r="D10" s="33"/>
      <c r="E10" s="37"/>
      <c r="F10" s="37"/>
      <c r="G10" s="37"/>
      <c r="H10" s="37"/>
      <c r="I10" s="38"/>
      <c r="J10" s="36"/>
      <c r="K10" s="37"/>
      <c r="L10" s="36"/>
      <c r="M10" s="39"/>
    </row>
    <row r="11" spans="1:13" ht="14.25" customHeight="1" x14ac:dyDescent="0.25">
      <c r="A11" s="43" t="s">
        <v>21</v>
      </c>
      <c r="B11" s="44">
        <v>0.3</v>
      </c>
      <c r="C11" s="44">
        <v>0.5</v>
      </c>
      <c r="D11" s="44">
        <v>1</v>
      </c>
      <c r="E11" s="44">
        <v>2</v>
      </c>
      <c r="F11" s="44">
        <v>2</v>
      </c>
      <c r="G11" s="44">
        <v>2</v>
      </c>
      <c r="H11" s="44">
        <v>3</v>
      </c>
      <c r="I11" s="44">
        <v>2</v>
      </c>
      <c r="J11" s="45"/>
      <c r="K11" s="45"/>
      <c r="L11" s="45"/>
      <c r="M11" s="45"/>
    </row>
    <row r="12" spans="1:13" ht="14.25" customHeight="1" x14ac:dyDescent="0.25">
      <c r="A12" s="46"/>
      <c r="B12" s="24"/>
      <c r="C12" s="47" t="s">
        <v>22</v>
      </c>
      <c r="D12" s="24" t="s">
        <v>23</v>
      </c>
      <c r="E12" s="47" t="s">
        <v>24</v>
      </c>
      <c r="F12" s="47" t="s">
        <v>25</v>
      </c>
      <c r="G12" s="24" t="s">
        <v>26</v>
      </c>
      <c r="H12" s="47" t="s">
        <v>27</v>
      </c>
      <c r="I12" s="47" t="s">
        <v>28</v>
      </c>
      <c r="J12" s="48" t="s">
        <v>29</v>
      </c>
      <c r="K12" s="48" t="s">
        <v>29</v>
      </c>
      <c r="L12" s="48" t="s">
        <v>29</v>
      </c>
      <c r="M12" s="48" t="s">
        <v>30</v>
      </c>
    </row>
    <row r="13" spans="1:13" ht="14.25" customHeight="1" x14ac:dyDescent="0.25">
      <c r="A13" s="49" t="s">
        <v>31</v>
      </c>
      <c r="B13" s="47" t="s">
        <v>32</v>
      </c>
      <c r="C13" s="47" t="s">
        <v>30</v>
      </c>
      <c r="D13" s="47" t="s">
        <v>33</v>
      </c>
      <c r="E13" s="47" t="s">
        <v>34</v>
      </c>
      <c r="F13" s="47" t="s">
        <v>34</v>
      </c>
      <c r="G13" s="47"/>
      <c r="H13" s="47" t="s">
        <v>35</v>
      </c>
      <c r="I13" s="47" t="s">
        <v>36</v>
      </c>
      <c r="J13" s="48" t="s">
        <v>37</v>
      </c>
      <c r="K13" s="48" t="s">
        <v>38</v>
      </c>
      <c r="L13" s="48" t="s">
        <v>39</v>
      </c>
      <c r="M13" s="48" t="s">
        <v>39</v>
      </c>
    </row>
    <row r="14" spans="1:13" ht="14.25" customHeight="1" x14ac:dyDescent="0.25">
      <c r="A14" s="50" t="s">
        <v>40</v>
      </c>
      <c r="B14" s="51"/>
      <c r="C14" s="51"/>
      <c r="D14" s="51"/>
      <c r="E14" s="51"/>
      <c r="F14" s="51"/>
      <c r="G14" s="51"/>
      <c r="H14" s="51"/>
      <c r="I14" s="51"/>
      <c r="J14" s="52">
        <f t="shared" ref="J14:J45" si="0">SUMPRODUCT(B14:I14,$B$11:$I$11)</f>
        <v>0</v>
      </c>
      <c r="K14" s="53"/>
      <c r="L14" s="53"/>
      <c r="M14" s="53"/>
    </row>
    <row r="15" spans="1:13" ht="14.25" customHeight="1" x14ac:dyDescent="0.25">
      <c r="A15" s="50" t="s">
        <v>41</v>
      </c>
      <c r="B15" s="51"/>
      <c r="C15" s="51"/>
      <c r="D15" s="51"/>
      <c r="E15" s="51"/>
      <c r="F15" s="51"/>
      <c r="G15" s="51"/>
      <c r="H15" s="51"/>
      <c r="I15" s="51"/>
      <c r="J15" s="52">
        <f t="shared" si="0"/>
        <v>0</v>
      </c>
      <c r="K15" s="54">
        <f>J15+J14</f>
        <v>0</v>
      </c>
      <c r="L15" s="55"/>
      <c r="M15" s="55"/>
    </row>
    <row r="16" spans="1:13" ht="14.25" customHeight="1" x14ac:dyDescent="0.25">
      <c r="A16" s="50" t="s">
        <v>42</v>
      </c>
      <c r="B16" s="51"/>
      <c r="C16" s="51"/>
      <c r="D16" s="51"/>
      <c r="E16" s="51"/>
      <c r="F16" s="51"/>
      <c r="G16" s="51"/>
      <c r="H16" s="51"/>
      <c r="I16" s="51"/>
      <c r="J16" s="52">
        <f t="shared" si="0"/>
        <v>0</v>
      </c>
      <c r="K16" s="53"/>
      <c r="L16" s="54"/>
      <c r="M16" s="54"/>
    </row>
    <row r="17" spans="1:13" ht="14.25" customHeight="1" x14ac:dyDescent="0.25">
      <c r="A17" s="50" t="s">
        <v>43</v>
      </c>
      <c r="B17" s="51"/>
      <c r="C17" s="51"/>
      <c r="D17" s="51"/>
      <c r="E17" s="51"/>
      <c r="F17" s="51"/>
      <c r="G17" s="51"/>
      <c r="H17" s="51"/>
      <c r="I17" s="51"/>
      <c r="J17" s="52">
        <f t="shared" si="0"/>
        <v>0</v>
      </c>
      <c r="K17" s="54">
        <f>J17+J16</f>
        <v>0</v>
      </c>
      <c r="L17" s="54">
        <f>SUM(J14:J17)</f>
        <v>0</v>
      </c>
      <c r="M17" s="54">
        <f>SUM(C14:I17)</f>
        <v>0</v>
      </c>
    </row>
    <row r="18" spans="1:13" ht="14.25" customHeight="1" x14ac:dyDescent="0.25">
      <c r="A18" s="50" t="s">
        <v>44</v>
      </c>
      <c r="B18" s="51"/>
      <c r="C18" s="51"/>
      <c r="D18" s="51"/>
      <c r="E18" s="51"/>
      <c r="F18" s="51"/>
      <c r="G18" s="51"/>
      <c r="H18" s="51"/>
      <c r="I18" s="51"/>
      <c r="J18" s="52">
        <f t="shared" si="0"/>
        <v>0</v>
      </c>
      <c r="K18" s="53"/>
      <c r="L18" s="53"/>
      <c r="M18" s="53"/>
    </row>
    <row r="19" spans="1:13" ht="14.25" customHeight="1" x14ac:dyDescent="0.25">
      <c r="A19" s="50" t="s">
        <v>45</v>
      </c>
      <c r="B19" s="51"/>
      <c r="C19" s="51"/>
      <c r="D19" s="51"/>
      <c r="E19" s="51"/>
      <c r="F19" s="51"/>
      <c r="G19" s="51"/>
      <c r="H19" s="51"/>
      <c r="I19" s="51"/>
      <c r="J19" s="52">
        <f t="shared" si="0"/>
        <v>0</v>
      </c>
      <c r="K19" s="54">
        <f>J19+J18</f>
        <v>0</v>
      </c>
      <c r="L19" s="55"/>
      <c r="M19" s="55"/>
    </row>
    <row r="20" spans="1:13" ht="14.25" customHeight="1" x14ac:dyDescent="0.25">
      <c r="A20" s="50" t="s">
        <v>46</v>
      </c>
      <c r="B20" s="51"/>
      <c r="C20" s="51"/>
      <c r="D20" s="51"/>
      <c r="E20" s="51"/>
      <c r="F20" s="51"/>
      <c r="G20" s="51"/>
      <c r="H20" s="51"/>
      <c r="I20" s="51"/>
      <c r="J20" s="52">
        <f t="shared" si="0"/>
        <v>0</v>
      </c>
      <c r="K20" s="53"/>
      <c r="L20" s="54"/>
      <c r="M20" s="54"/>
    </row>
    <row r="21" spans="1:13" ht="14.25" customHeight="1" x14ac:dyDescent="0.25">
      <c r="A21" s="50" t="s">
        <v>47</v>
      </c>
      <c r="B21" s="51"/>
      <c r="C21" s="51"/>
      <c r="D21" s="51"/>
      <c r="E21" s="51"/>
      <c r="F21" s="51"/>
      <c r="G21" s="51"/>
      <c r="H21" s="51"/>
      <c r="I21" s="51"/>
      <c r="J21" s="52">
        <f t="shared" si="0"/>
        <v>0</v>
      </c>
      <c r="K21" s="54">
        <f>J21+J20</f>
        <v>0</v>
      </c>
      <c r="L21" s="54">
        <f>SUM(J18:J21)</f>
        <v>0</v>
      </c>
      <c r="M21" s="54">
        <f>SUM(C18:I21)</f>
        <v>0</v>
      </c>
    </row>
    <row r="22" spans="1:13" ht="14.25" customHeight="1" x14ac:dyDescent="0.25">
      <c r="A22" s="50" t="s">
        <v>48</v>
      </c>
      <c r="B22" s="56">
        <v>0</v>
      </c>
      <c r="C22" s="56">
        <v>0</v>
      </c>
      <c r="D22" s="56">
        <v>11</v>
      </c>
      <c r="E22" s="56">
        <v>0</v>
      </c>
      <c r="F22" s="56">
        <v>0</v>
      </c>
      <c r="G22" s="56">
        <v>1</v>
      </c>
      <c r="H22" s="56">
        <v>0</v>
      </c>
      <c r="I22" s="56">
        <v>0</v>
      </c>
      <c r="J22" s="52">
        <f t="shared" si="0"/>
        <v>13</v>
      </c>
      <c r="K22" s="53"/>
      <c r="L22" s="53"/>
      <c r="M22" s="53"/>
    </row>
    <row r="23" spans="1:13" ht="14.25" customHeight="1" x14ac:dyDescent="0.25">
      <c r="A23" s="50" t="s">
        <v>49</v>
      </c>
      <c r="B23" s="56">
        <v>0</v>
      </c>
      <c r="C23" s="56">
        <v>0</v>
      </c>
      <c r="D23" s="56">
        <v>15</v>
      </c>
      <c r="E23" s="56">
        <v>0</v>
      </c>
      <c r="F23" s="56">
        <v>0</v>
      </c>
      <c r="G23" s="56">
        <v>0</v>
      </c>
      <c r="H23" s="56">
        <v>0</v>
      </c>
      <c r="I23" s="56">
        <v>0</v>
      </c>
      <c r="J23" s="52">
        <f t="shared" si="0"/>
        <v>15</v>
      </c>
      <c r="K23" s="54">
        <f>J23+J22</f>
        <v>28</v>
      </c>
      <c r="L23" s="55"/>
      <c r="M23" s="55"/>
    </row>
    <row r="24" spans="1:13" ht="14.25" customHeight="1" x14ac:dyDescent="0.25">
      <c r="A24" s="50" t="s">
        <v>50</v>
      </c>
      <c r="B24" s="56">
        <v>0</v>
      </c>
      <c r="C24" s="56">
        <v>0</v>
      </c>
      <c r="D24" s="56">
        <v>7</v>
      </c>
      <c r="E24" s="56">
        <v>0</v>
      </c>
      <c r="F24" s="56">
        <v>0</v>
      </c>
      <c r="G24" s="56">
        <v>0</v>
      </c>
      <c r="H24" s="56">
        <v>0</v>
      </c>
      <c r="I24" s="56">
        <v>0</v>
      </c>
      <c r="J24" s="52">
        <f t="shared" si="0"/>
        <v>7</v>
      </c>
      <c r="K24" s="53"/>
      <c r="L24" s="54"/>
      <c r="M24" s="54"/>
    </row>
    <row r="25" spans="1:13" ht="14.25" customHeight="1" x14ac:dyDescent="0.25">
      <c r="A25" s="50" t="s">
        <v>51</v>
      </c>
      <c r="B25" s="56">
        <v>0</v>
      </c>
      <c r="C25" s="56">
        <v>0</v>
      </c>
      <c r="D25" s="56">
        <v>8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2">
        <f t="shared" si="0"/>
        <v>8</v>
      </c>
      <c r="K25" s="54">
        <f>J25+J24</f>
        <v>15</v>
      </c>
      <c r="L25" s="54">
        <f>SUM(J22:J25)</f>
        <v>43</v>
      </c>
      <c r="M25" s="54">
        <f>SUM(C22:I25)</f>
        <v>42</v>
      </c>
    </row>
    <row r="26" spans="1:13" ht="14.25" customHeight="1" x14ac:dyDescent="0.25">
      <c r="A26" s="50" t="s">
        <v>52</v>
      </c>
      <c r="B26" s="56">
        <v>0</v>
      </c>
      <c r="C26" s="56">
        <v>0</v>
      </c>
      <c r="D26" s="56">
        <v>6</v>
      </c>
      <c r="E26" s="56">
        <v>0</v>
      </c>
      <c r="F26" s="56">
        <v>0</v>
      </c>
      <c r="G26" s="56">
        <v>2</v>
      </c>
      <c r="H26" s="56">
        <v>1</v>
      </c>
      <c r="I26" s="56">
        <v>0</v>
      </c>
      <c r="J26" s="52">
        <f t="shared" si="0"/>
        <v>13</v>
      </c>
      <c r="K26" s="53"/>
      <c r="L26" s="53"/>
      <c r="M26" s="53"/>
    </row>
    <row r="27" spans="1:13" ht="14.25" customHeight="1" x14ac:dyDescent="0.25">
      <c r="A27" s="50" t="s">
        <v>53</v>
      </c>
      <c r="B27" s="56">
        <v>0</v>
      </c>
      <c r="C27" s="56">
        <v>0</v>
      </c>
      <c r="D27" s="56">
        <v>15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52">
        <f t="shared" si="0"/>
        <v>15</v>
      </c>
      <c r="K27" s="54">
        <f>J27+J26</f>
        <v>28</v>
      </c>
      <c r="L27" s="55"/>
      <c r="M27" s="55"/>
    </row>
    <row r="28" spans="1:13" ht="14.25" customHeight="1" x14ac:dyDescent="0.25">
      <c r="A28" s="50" t="s">
        <v>54</v>
      </c>
      <c r="B28" s="56">
        <v>0</v>
      </c>
      <c r="C28" s="56">
        <v>0</v>
      </c>
      <c r="D28" s="56">
        <v>13</v>
      </c>
      <c r="E28" s="56">
        <v>1</v>
      </c>
      <c r="F28" s="56">
        <v>0</v>
      </c>
      <c r="G28" s="56">
        <v>0</v>
      </c>
      <c r="H28" s="56">
        <v>0</v>
      </c>
      <c r="I28" s="56">
        <v>0</v>
      </c>
      <c r="J28" s="52">
        <f t="shared" si="0"/>
        <v>15</v>
      </c>
      <c r="K28" s="53"/>
      <c r="L28" s="54"/>
      <c r="M28" s="54"/>
    </row>
    <row r="29" spans="1:13" ht="14.25" customHeight="1" x14ac:dyDescent="0.25">
      <c r="A29" s="50" t="s">
        <v>55</v>
      </c>
      <c r="B29" s="56">
        <v>0</v>
      </c>
      <c r="C29" s="56">
        <v>0</v>
      </c>
      <c r="D29" s="56">
        <v>18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52">
        <f t="shared" si="0"/>
        <v>18</v>
      </c>
      <c r="K29" s="54">
        <f>J29+J28</f>
        <v>33</v>
      </c>
      <c r="L29" s="54">
        <f>SUM(J26:J29)</f>
        <v>61</v>
      </c>
      <c r="M29" s="54">
        <f>SUM(C26:I29)</f>
        <v>56</v>
      </c>
    </row>
    <row r="30" spans="1:13" ht="14.25" customHeight="1" x14ac:dyDescent="0.25">
      <c r="A30" s="50" t="s">
        <v>56</v>
      </c>
      <c r="B30" s="56">
        <v>0</v>
      </c>
      <c r="C30" s="56">
        <v>0</v>
      </c>
      <c r="D30" s="56">
        <v>10</v>
      </c>
      <c r="E30" s="56">
        <v>0</v>
      </c>
      <c r="F30" s="56">
        <v>0</v>
      </c>
      <c r="G30" s="56">
        <v>1</v>
      </c>
      <c r="H30" s="56">
        <v>0</v>
      </c>
      <c r="I30" s="56">
        <v>0</v>
      </c>
      <c r="J30" s="52">
        <f t="shared" si="0"/>
        <v>12</v>
      </c>
      <c r="K30" s="53"/>
      <c r="L30" s="53"/>
      <c r="M30" s="53"/>
    </row>
    <row r="31" spans="1:13" ht="14.25" customHeight="1" x14ac:dyDescent="0.25">
      <c r="A31" s="50" t="s">
        <v>57</v>
      </c>
      <c r="B31" s="56">
        <v>0</v>
      </c>
      <c r="C31" s="56">
        <v>0</v>
      </c>
      <c r="D31" s="56">
        <v>10</v>
      </c>
      <c r="E31" s="56">
        <v>1</v>
      </c>
      <c r="F31" s="56">
        <v>0</v>
      </c>
      <c r="G31" s="56">
        <v>1</v>
      </c>
      <c r="H31" s="56">
        <v>0</v>
      </c>
      <c r="I31" s="56">
        <v>0</v>
      </c>
      <c r="J31" s="52">
        <f t="shared" si="0"/>
        <v>14</v>
      </c>
      <c r="K31" s="54">
        <f>J31+J30</f>
        <v>26</v>
      </c>
      <c r="L31" s="55"/>
      <c r="M31" s="55"/>
    </row>
    <row r="32" spans="1:13" ht="14.25" customHeight="1" x14ac:dyDescent="0.25">
      <c r="A32" s="50" t="s">
        <v>58</v>
      </c>
      <c r="B32" s="56">
        <v>0</v>
      </c>
      <c r="C32" s="56">
        <v>0</v>
      </c>
      <c r="D32" s="56">
        <v>17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2">
        <f t="shared" si="0"/>
        <v>17</v>
      </c>
      <c r="K32" s="53"/>
      <c r="L32" s="54"/>
      <c r="M32" s="54"/>
    </row>
    <row r="33" spans="1:13" ht="14.25" customHeight="1" x14ac:dyDescent="0.25">
      <c r="A33" s="50" t="s">
        <v>59</v>
      </c>
      <c r="B33" s="56">
        <v>0</v>
      </c>
      <c r="C33" s="56">
        <v>0</v>
      </c>
      <c r="D33" s="56">
        <v>12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2">
        <f t="shared" si="0"/>
        <v>12</v>
      </c>
      <c r="K33" s="54">
        <f>J33+J32</f>
        <v>29</v>
      </c>
      <c r="L33" s="54">
        <f>SUM(J30:J33)</f>
        <v>55</v>
      </c>
      <c r="M33" s="54">
        <f>SUM(C30:I33)</f>
        <v>52</v>
      </c>
    </row>
    <row r="34" spans="1:13" ht="14.25" customHeight="1" x14ac:dyDescent="0.25">
      <c r="A34" s="50" t="s">
        <v>60</v>
      </c>
      <c r="B34" s="56">
        <v>0</v>
      </c>
      <c r="C34" s="56">
        <v>0</v>
      </c>
      <c r="D34" s="56">
        <v>19</v>
      </c>
      <c r="E34" s="56">
        <v>0</v>
      </c>
      <c r="F34" s="56">
        <v>0</v>
      </c>
      <c r="G34" s="56">
        <v>1</v>
      </c>
      <c r="H34" s="56">
        <v>0</v>
      </c>
      <c r="I34" s="56">
        <v>0</v>
      </c>
      <c r="J34" s="52">
        <f t="shared" si="0"/>
        <v>21</v>
      </c>
      <c r="K34" s="53"/>
      <c r="L34" s="53"/>
      <c r="M34" s="53"/>
    </row>
    <row r="35" spans="1:13" ht="14.25" customHeight="1" x14ac:dyDescent="0.25">
      <c r="A35" s="50" t="s">
        <v>61</v>
      </c>
      <c r="B35" s="56">
        <v>0</v>
      </c>
      <c r="C35" s="56">
        <v>0</v>
      </c>
      <c r="D35" s="56">
        <v>16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2">
        <f t="shared" si="0"/>
        <v>16</v>
      </c>
      <c r="K35" s="54">
        <f>J35+J34</f>
        <v>37</v>
      </c>
      <c r="L35" s="55"/>
      <c r="M35" s="55"/>
    </row>
    <row r="36" spans="1:13" ht="14.25" customHeight="1" x14ac:dyDescent="0.25">
      <c r="A36" s="50" t="s">
        <v>62</v>
      </c>
      <c r="B36" s="56">
        <v>0</v>
      </c>
      <c r="C36" s="56">
        <v>0</v>
      </c>
      <c r="D36" s="56">
        <v>15</v>
      </c>
      <c r="E36" s="56">
        <v>1</v>
      </c>
      <c r="F36" s="56">
        <v>0</v>
      </c>
      <c r="G36" s="56">
        <v>0</v>
      </c>
      <c r="H36" s="56">
        <v>0</v>
      </c>
      <c r="I36" s="56">
        <v>0</v>
      </c>
      <c r="J36" s="52">
        <f t="shared" si="0"/>
        <v>17</v>
      </c>
      <c r="K36" s="53"/>
      <c r="L36" s="54"/>
      <c r="M36" s="54"/>
    </row>
    <row r="37" spans="1:13" ht="14.25" customHeight="1" x14ac:dyDescent="0.25">
      <c r="A37" s="50" t="s">
        <v>63</v>
      </c>
      <c r="B37" s="56">
        <v>0</v>
      </c>
      <c r="C37" s="56">
        <v>0</v>
      </c>
      <c r="D37" s="56">
        <v>10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2">
        <f t="shared" si="0"/>
        <v>10</v>
      </c>
      <c r="K37" s="54">
        <f>J37+J36</f>
        <v>27</v>
      </c>
      <c r="L37" s="54">
        <f>SUM(J34:J37)</f>
        <v>64</v>
      </c>
      <c r="M37" s="54">
        <f>SUM(C34:I37)</f>
        <v>62</v>
      </c>
    </row>
    <row r="38" spans="1:13" ht="14.25" customHeight="1" x14ac:dyDescent="0.25">
      <c r="A38" s="50" t="s">
        <v>64</v>
      </c>
      <c r="B38" s="56">
        <v>0</v>
      </c>
      <c r="C38" s="56">
        <v>0</v>
      </c>
      <c r="D38" s="56">
        <v>16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2">
        <f t="shared" si="0"/>
        <v>16</v>
      </c>
      <c r="K38" s="53"/>
      <c r="L38" s="53"/>
      <c r="M38" s="53"/>
    </row>
    <row r="39" spans="1:13" ht="14.25" customHeight="1" x14ac:dyDescent="0.25">
      <c r="A39" s="50" t="s">
        <v>65</v>
      </c>
      <c r="B39" s="56">
        <v>0</v>
      </c>
      <c r="C39" s="56">
        <v>0</v>
      </c>
      <c r="D39" s="56">
        <v>13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2">
        <f t="shared" si="0"/>
        <v>13</v>
      </c>
      <c r="K39" s="54">
        <f>J39+J38</f>
        <v>29</v>
      </c>
      <c r="L39" s="55"/>
      <c r="M39" s="55"/>
    </row>
    <row r="40" spans="1:13" ht="14.25" customHeight="1" x14ac:dyDescent="0.25">
      <c r="A40" s="50" t="s">
        <v>66</v>
      </c>
      <c r="B40" s="56">
        <v>0</v>
      </c>
      <c r="C40" s="56">
        <v>0</v>
      </c>
      <c r="D40" s="56">
        <v>15</v>
      </c>
      <c r="E40" s="56">
        <v>0</v>
      </c>
      <c r="F40" s="56">
        <v>0</v>
      </c>
      <c r="G40" s="56">
        <v>1</v>
      </c>
      <c r="H40" s="56">
        <v>0</v>
      </c>
      <c r="I40" s="56">
        <v>0</v>
      </c>
      <c r="J40" s="52">
        <f t="shared" si="0"/>
        <v>17</v>
      </c>
      <c r="K40" s="53"/>
      <c r="L40" s="54"/>
      <c r="M40" s="54"/>
    </row>
    <row r="41" spans="1:13" ht="14.25" customHeight="1" x14ac:dyDescent="0.25">
      <c r="A41" s="50" t="s">
        <v>67</v>
      </c>
      <c r="B41" s="56">
        <v>0</v>
      </c>
      <c r="C41" s="56">
        <v>0</v>
      </c>
      <c r="D41" s="56">
        <v>14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2">
        <f t="shared" si="0"/>
        <v>14</v>
      </c>
      <c r="K41" s="54">
        <f>J41+J40</f>
        <v>31</v>
      </c>
      <c r="L41" s="54">
        <f>SUM(J38:J41)</f>
        <v>60</v>
      </c>
      <c r="M41" s="54">
        <f>SUM(C38:I41)</f>
        <v>59</v>
      </c>
    </row>
    <row r="42" spans="1:13" ht="14.25" customHeight="1" x14ac:dyDescent="0.25">
      <c r="A42" s="50" t="s">
        <v>68</v>
      </c>
      <c r="B42" s="56">
        <v>0</v>
      </c>
      <c r="C42" s="56">
        <v>0</v>
      </c>
      <c r="D42" s="56">
        <v>13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2">
        <f t="shared" si="0"/>
        <v>13</v>
      </c>
      <c r="K42" s="53"/>
      <c r="L42" s="53"/>
      <c r="M42" s="53"/>
    </row>
    <row r="43" spans="1:13" ht="14.25" customHeight="1" x14ac:dyDescent="0.25">
      <c r="A43" s="50" t="s">
        <v>69</v>
      </c>
      <c r="B43" s="56">
        <v>0</v>
      </c>
      <c r="C43" s="56">
        <v>0</v>
      </c>
      <c r="D43" s="56">
        <v>16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2">
        <f t="shared" si="0"/>
        <v>16</v>
      </c>
      <c r="K43" s="54">
        <f>J43+J42</f>
        <v>29</v>
      </c>
      <c r="L43" s="55"/>
      <c r="M43" s="55"/>
    </row>
    <row r="44" spans="1:13" ht="14.25" customHeight="1" x14ac:dyDescent="0.25">
      <c r="A44" s="50" t="s">
        <v>70</v>
      </c>
      <c r="B44" s="56">
        <v>0</v>
      </c>
      <c r="C44" s="56">
        <v>0</v>
      </c>
      <c r="D44" s="56">
        <v>11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2">
        <f t="shared" si="0"/>
        <v>11</v>
      </c>
      <c r="K44" s="53"/>
      <c r="L44" s="54"/>
      <c r="M44" s="54"/>
    </row>
    <row r="45" spans="1:13" ht="14.25" customHeight="1" x14ac:dyDescent="0.25">
      <c r="A45" s="50" t="s">
        <v>71</v>
      </c>
      <c r="B45" s="56">
        <v>0</v>
      </c>
      <c r="C45" s="56">
        <v>0</v>
      </c>
      <c r="D45" s="56">
        <v>22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2">
        <f t="shared" si="0"/>
        <v>22</v>
      </c>
      <c r="K45" s="54">
        <f>J45+J44</f>
        <v>33</v>
      </c>
      <c r="L45" s="54">
        <f>SUM(J42:J45)</f>
        <v>62</v>
      </c>
      <c r="M45" s="54">
        <f>SUM(C42:I45)</f>
        <v>62</v>
      </c>
    </row>
    <row r="46" spans="1:13" ht="14.25" customHeight="1" x14ac:dyDescent="0.25">
      <c r="A46" s="50" t="s">
        <v>72</v>
      </c>
      <c r="B46" s="56">
        <v>0</v>
      </c>
      <c r="C46" s="56">
        <v>0</v>
      </c>
      <c r="D46" s="56">
        <v>20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2">
        <f t="shared" ref="J46:J77" si="1">SUMPRODUCT(B46:I46,$B$11:$I$11)</f>
        <v>20</v>
      </c>
      <c r="K46" s="53"/>
      <c r="L46" s="53"/>
      <c r="M46" s="53"/>
    </row>
    <row r="47" spans="1:13" ht="14.25" customHeight="1" x14ac:dyDescent="0.25">
      <c r="A47" s="50" t="s">
        <v>73</v>
      </c>
      <c r="B47" s="56">
        <v>0</v>
      </c>
      <c r="C47" s="56">
        <v>0</v>
      </c>
      <c r="D47" s="56">
        <v>20</v>
      </c>
      <c r="E47" s="56">
        <v>0</v>
      </c>
      <c r="F47" s="56">
        <v>0</v>
      </c>
      <c r="G47" s="56">
        <v>1</v>
      </c>
      <c r="H47" s="56">
        <v>0</v>
      </c>
      <c r="I47" s="56">
        <v>0</v>
      </c>
      <c r="J47" s="52">
        <f t="shared" si="1"/>
        <v>22</v>
      </c>
      <c r="K47" s="54">
        <f>J47+J46</f>
        <v>42</v>
      </c>
      <c r="L47" s="55"/>
      <c r="M47" s="55"/>
    </row>
    <row r="48" spans="1:13" ht="14.25" customHeight="1" x14ac:dyDescent="0.25">
      <c r="A48" s="50" t="s">
        <v>74</v>
      </c>
      <c r="B48" s="56">
        <v>0</v>
      </c>
      <c r="C48" s="56">
        <v>0</v>
      </c>
      <c r="D48" s="56">
        <v>18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2">
        <f t="shared" si="1"/>
        <v>18</v>
      </c>
      <c r="K48" s="53"/>
      <c r="L48" s="54"/>
      <c r="M48" s="54"/>
    </row>
    <row r="49" spans="1:13" ht="14.25" customHeight="1" x14ac:dyDescent="0.25">
      <c r="A49" s="50" t="s">
        <v>75</v>
      </c>
      <c r="B49" s="56">
        <v>0</v>
      </c>
      <c r="C49" s="56">
        <v>0</v>
      </c>
      <c r="D49" s="56">
        <v>21</v>
      </c>
      <c r="E49" s="56">
        <v>0</v>
      </c>
      <c r="F49" s="56">
        <v>0</v>
      </c>
      <c r="G49" s="56">
        <v>0</v>
      </c>
      <c r="H49" s="56">
        <v>0</v>
      </c>
      <c r="I49" s="56">
        <v>0</v>
      </c>
      <c r="J49" s="52">
        <f t="shared" si="1"/>
        <v>21</v>
      </c>
      <c r="K49" s="54">
        <f>J49+J48</f>
        <v>39</v>
      </c>
      <c r="L49" s="54">
        <f>SUM(J46:J49)</f>
        <v>81</v>
      </c>
      <c r="M49" s="54">
        <f>SUM(C46:I49)</f>
        <v>80</v>
      </c>
    </row>
    <row r="50" spans="1:13" ht="14.25" customHeight="1" x14ac:dyDescent="0.25">
      <c r="A50" s="50" t="s">
        <v>76</v>
      </c>
      <c r="B50" s="56">
        <v>0</v>
      </c>
      <c r="C50" s="56">
        <v>0</v>
      </c>
      <c r="D50" s="56">
        <v>17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2">
        <f t="shared" si="1"/>
        <v>17</v>
      </c>
      <c r="K50" s="53"/>
      <c r="L50" s="53"/>
      <c r="M50" s="53"/>
    </row>
    <row r="51" spans="1:13" ht="14.25" customHeight="1" x14ac:dyDescent="0.25">
      <c r="A51" s="50" t="s">
        <v>77</v>
      </c>
      <c r="B51" s="56">
        <v>0</v>
      </c>
      <c r="C51" s="56">
        <v>0</v>
      </c>
      <c r="D51" s="56">
        <v>19</v>
      </c>
      <c r="E51" s="56">
        <v>0</v>
      </c>
      <c r="F51" s="56">
        <v>0</v>
      </c>
      <c r="G51" s="56">
        <v>1</v>
      </c>
      <c r="H51" s="56">
        <v>0</v>
      </c>
      <c r="I51" s="56">
        <v>0</v>
      </c>
      <c r="J51" s="52">
        <f t="shared" si="1"/>
        <v>21</v>
      </c>
      <c r="K51" s="54">
        <f>J51+J50</f>
        <v>38</v>
      </c>
      <c r="L51" s="55"/>
      <c r="M51" s="55"/>
    </row>
    <row r="52" spans="1:13" ht="14.25" customHeight="1" x14ac:dyDescent="0.25">
      <c r="A52" s="50" t="s">
        <v>78</v>
      </c>
      <c r="B52" s="56">
        <v>0</v>
      </c>
      <c r="C52" s="56">
        <v>0</v>
      </c>
      <c r="D52" s="56">
        <v>16</v>
      </c>
      <c r="E52" s="56">
        <v>0</v>
      </c>
      <c r="F52" s="56">
        <v>0</v>
      </c>
      <c r="G52" s="56">
        <v>1</v>
      </c>
      <c r="H52" s="56">
        <v>0</v>
      </c>
      <c r="I52" s="56">
        <v>0</v>
      </c>
      <c r="J52" s="52">
        <f t="shared" si="1"/>
        <v>18</v>
      </c>
      <c r="K52" s="53"/>
      <c r="L52" s="54"/>
      <c r="M52" s="54"/>
    </row>
    <row r="53" spans="1:13" ht="14.25" customHeight="1" x14ac:dyDescent="0.25">
      <c r="A53" s="50" t="s">
        <v>79</v>
      </c>
      <c r="B53" s="56">
        <v>0</v>
      </c>
      <c r="C53" s="56">
        <v>0</v>
      </c>
      <c r="D53" s="56">
        <v>16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2">
        <f t="shared" si="1"/>
        <v>16</v>
      </c>
      <c r="K53" s="54">
        <f>J53+J52</f>
        <v>34</v>
      </c>
      <c r="L53" s="54">
        <f>SUM(J50:J53)</f>
        <v>72</v>
      </c>
      <c r="M53" s="54">
        <f>SUM(C50:I53)</f>
        <v>70</v>
      </c>
    </row>
    <row r="54" spans="1:13" ht="14.25" customHeight="1" x14ac:dyDescent="0.25">
      <c r="A54" s="50" t="s">
        <v>80</v>
      </c>
      <c r="B54" s="56">
        <v>0</v>
      </c>
      <c r="C54" s="56">
        <v>0</v>
      </c>
      <c r="D54" s="56">
        <v>20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2">
        <f t="shared" si="1"/>
        <v>20</v>
      </c>
      <c r="K54" s="53"/>
      <c r="L54" s="53"/>
      <c r="M54" s="53"/>
    </row>
    <row r="55" spans="1:13" ht="14.25" customHeight="1" x14ac:dyDescent="0.25">
      <c r="A55" s="50" t="s">
        <v>81</v>
      </c>
      <c r="B55" s="56">
        <v>0</v>
      </c>
      <c r="C55" s="56">
        <v>0</v>
      </c>
      <c r="D55" s="56">
        <v>22</v>
      </c>
      <c r="E55" s="56">
        <v>0</v>
      </c>
      <c r="F55" s="56">
        <v>0</v>
      </c>
      <c r="G55" s="56">
        <v>0</v>
      </c>
      <c r="H55" s="56">
        <v>0</v>
      </c>
      <c r="I55" s="56">
        <v>0</v>
      </c>
      <c r="J55" s="52">
        <f t="shared" si="1"/>
        <v>22</v>
      </c>
      <c r="K55" s="54">
        <f>J55+J54</f>
        <v>42</v>
      </c>
      <c r="L55" s="55"/>
      <c r="M55" s="55"/>
    </row>
    <row r="56" spans="1:13" ht="14.25" customHeight="1" x14ac:dyDescent="0.25">
      <c r="A56" s="50" t="s">
        <v>82</v>
      </c>
      <c r="B56" s="56">
        <v>0</v>
      </c>
      <c r="C56" s="56">
        <v>0</v>
      </c>
      <c r="D56" s="56">
        <v>22</v>
      </c>
      <c r="E56" s="56">
        <v>0</v>
      </c>
      <c r="F56" s="56">
        <v>0</v>
      </c>
      <c r="G56" s="56">
        <v>1</v>
      </c>
      <c r="H56" s="56">
        <v>0</v>
      </c>
      <c r="I56" s="56">
        <v>0</v>
      </c>
      <c r="J56" s="52">
        <f t="shared" si="1"/>
        <v>24</v>
      </c>
      <c r="K56" s="53"/>
      <c r="L56" s="54"/>
      <c r="M56" s="54"/>
    </row>
    <row r="57" spans="1:13" ht="14.25" customHeight="1" x14ac:dyDescent="0.25">
      <c r="A57" s="50" t="s">
        <v>83</v>
      </c>
      <c r="B57" s="56">
        <v>0</v>
      </c>
      <c r="C57" s="56">
        <v>0</v>
      </c>
      <c r="D57" s="56">
        <v>35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2">
        <f t="shared" si="1"/>
        <v>35</v>
      </c>
      <c r="K57" s="57">
        <f>J57+J56</f>
        <v>59</v>
      </c>
      <c r="L57" s="54">
        <f>SUM(J54:J57)</f>
        <v>101</v>
      </c>
      <c r="M57" s="54">
        <f>SUM(C54:I57)</f>
        <v>100</v>
      </c>
    </row>
    <row r="58" spans="1:13" ht="14.25" customHeight="1" x14ac:dyDescent="0.25">
      <c r="A58" s="50" t="s">
        <v>84</v>
      </c>
      <c r="B58" s="56">
        <v>0</v>
      </c>
      <c r="C58" s="56">
        <v>0</v>
      </c>
      <c r="D58" s="56">
        <v>27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2">
        <f t="shared" si="1"/>
        <v>27</v>
      </c>
      <c r="K58" s="53"/>
      <c r="L58" s="53"/>
      <c r="M58" s="53"/>
    </row>
    <row r="59" spans="1:13" ht="14.25" customHeight="1" x14ac:dyDescent="0.25">
      <c r="A59" s="50" t="s">
        <v>85</v>
      </c>
      <c r="B59" s="56">
        <v>0</v>
      </c>
      <c r="C59" s="56">
        <v>0</v>
      </c>
      <c r="D59" s="56">
        <v>20</v>
      </c>
      <c r="E59" s="56">
        <v>0</v>
      </c>
      <c r="F59" s="56">
        <v>0</v>
      </c>
      <c r="G59" s="56">
        <v>0</v>
      </c>
      <c r="H59" s="56">
        <v>0</v>
      </c>
      <c r="I59" s="56">
        <v>0</v>
      </c>
      <c r="J59" s="52">
        <f t="shared" si="1"/>
        <v>20</v>
      </c>
      <c r="K59" s="54">
        <f>J59+J58</f>
        <v>47</v>
      </c>
      <c r="L59" s="55"/>
      <c r="M59" s="55"/>
    </row>
    <row r="60" spans="1:13" ht="14.25" customHeight="1" x14ac:dyDescent="0.25">
      <c r="A60" s="50" t="s">
        <v>86</v>
      </c>
      <c r="B60" s="56">
        <v>0</v>
      </c>
      <c r="C60" s="56">
        <v>0</v>
      </c>
      <c r="D60" s="56">
        <v>35</v>
      </c>
      <c r="E60" s="56">
        <v>0</v>
      </c>
      <c r="F60" s="56">
        <v>0</v>
      </c>
      <c r="G60" s="56">
        <v>0</v>
      </c>
      <c r="H60" s="56">
        <v>0</v>
      </c>
      <c r="I60" s="56">
        <v>0</v>
      </c>
      <c r="J60" s="52">
        <f t="shared" si="1"/>
        <v>35</v>
      </c>
      <c r="K60" s="53"/>
      <c r="L60" s="54"/>
      <c r="M60" s="54"/>
    </row>
    <row r="61" spans="1:13" ht="14.25" customHeight="1" x14ac:dyDescent="0.25">
      <c r="A61" s="50" t="s">
        <v>87</v>
      </c>
      <c r="B61" s="56">
        <v>0</v>
      </c>
      <c r="C61" s="56">
        <v>1</v>
      </c>
      <c r="D61" s="56">
        <v>19</v>
      </c>
      <c r="E61" s="56">
        <v>0</v>
      </c>
      <c r="F61" s="56">
        <v>0</v>
      </c>
      <c r="G61" s="56">
        <v>0</v>
      </c>
      <c r="H61" s="56">
        <v>0</v>
      </c>
      <c r="I61" s="56">
        <v>0</v>
      </c>
      <c r="J61" s="52">
        <f t="shared" si="1"/>
        <v>19.5</v>
      </c>
      <c r="K61" s="54">
        <f>J61+J60</f>
        <v>54.5</v>
      </c>
      <c r="L61" s="54">
        <f>SUM(J58:J61)</f>
        <v>101.5</v>
      </c>
      <c r="M61" s="54">
        <f>SUM(C58:I61)</f>
        <v>102</v>
      </c>
    </row>
    <row r="62" spans="1:13" ht="14.25" customHeight="1" x14ac:dyDescent="0.25">
      <c r="A62" s="50" t="s">
        <v>88</v>
      </c>
      <c r="B62" s="56">
        <v>0</v>
      </c>
      <c r="C62" s="56">
        <v>0</v>
      </c>
      <c r="D62" s="56">
        <v>26</v>
      </c>
      <c r="E62" s="56">
        <v>0</v>
      </c>
      <c r="F62" s="56">
        <v>0</v>
      </c>
      <c r="G62" s="56">
        <v>0</v>
      </c>
      <c r="H62" s="56">
        <v>0</v>
      </c>
      <c r="I62" s="56">
        <v>0</v>
      </c>
      <c r="J62" s="52">
        <f t="shared" si="1"/>
        <v>26</v>
      </c>
      <c r="K62" s="53"/>
      <c r="L62" s="53"/>
      <c r="M62" s="53"/>
    </row>
    <row r="63" spans="1:13" ht="14.25" customHeight="1" x14ac:dyDescent="0.25">
      <c r="A63" s="50" t="s">
        <v>89</v>
      </c>
      <c r="B63" s="56">
        <v>0</v>
      </c>
      <c r="C63" s="56">
        <v>0</v>
      </c>
      <c r="D63" s="56">
        <v>28</v>
      </c>
      <c r="E63" s="56">
        <v>1</v>
      </c>
      <c r="F63" s="56">
        <v>0</v>
      </c>
      <c r="G63" s="56">
        <v>0</v>
      </c>
      <c r="H63" s="56">
        <v>0</v>
      </c>
      <c r="I63" s="56">
        <v>0</v>
      </c>
      <c r="J63" s="52">
        <f t="shared" si="1"/>
        <v>30</v>
      </c>
      <c r="K63" s="54">
        <f>J63+J62</f>
        <v>56</v>
      </c>
      <c r="L63" s="55"/>
      <c r="M63" s="55"/>
    </row>
    <row r="64" spans="1:13" ht="14.25" customHeight="1" x14ac:dyDescent="0.25">
      <c r="A64" s="50" t="s">
        <v>90</v>
      </c>
      <c r="B64" s="56">
        <v>0</v>
      </c>
      <c r="C64" s="56">
        <v>0</v>
      </c>
      <c r="D64" s="56">
        <v>29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2">
        <f t="shared" si="1"/>
        <v>29</v>
      </c>
      <c r="K64" s="53"/>
      <c r="L64" s="54"/>
      <c r="M64" s="54"/>
    </row>
    <row r="65" spans="1:13" ht="14.25" customHeight="1" x14ac:dyDescent="0.25">
      <c r="A65" s="50" t="s">
        <v>91</v>
      </c>
      <c r="B65" s="56">
        <v>0</v>
      </c>
      <c r="C65" s="56">
        <v>0</v>
      </c>
      <c r="D65" s="56">
        <v>30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2">
        <f t="shared" si="1"/>
        <v>30</v>
      </c>
      <c r="K65" s="54">
        <f>J65+J64</f>
        <v>59</v>
      </c>
      <c r="L65" s="54">
        <f>SUM(J62:J65)</f>
        <v>115</v>
      </c>
      <c r="M65" s="54">
        <f>SUM(C62:I65)</f>
        <v>114</v>
      </c>
    </row>
    <row r="66" spans="1:13" ht="14.25" customHeight="1" x14ac:dyDescent="0.25">
      <c r="A66" s="50" t="s">
        <v>92</v>
      </c>
      <c r="B66" s="56">
        <v>0</v>
      </c>
      <c r="C66" s="56">
        <v>0</v>
      </c>
      <c r="D66" s="56">
        <v>18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2">
        <f t="shared" si="1"/>
        <v>18</v>
      </c>
      <c r="K66" s="53"/>
      <c r="L66" s="53"/>
      <c r="M66" s="53"/>
    </row>
    <row r="67" spans="1:13" ht="14.25" customHeight="1" x14ac:dyDescent="0.25">
      <c r="A67" s="50" t="s">
        <v>93</v>
      </c>
      <c r="B67" s="56">
        <v>0</v>
      </c>
      <c r="C67" s="56">
        <v>0</v>
      </c>
      <c r="D67" s="56">
        <v>17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2">
        <f t="shared" si="1"/>
        <v>17</v>
      </c>
      <c r="K67" s="54">
        <f>J67+J66</f>
        <v>35</v>
      </c>
      <c r="L67" s="55"/>
      <c r="M67" s="55"/>
    </row>
    <row r="68" spans="1:13" ht="14.25" customHeight="1" x14ac:dyDescent="0.25">
      <c r="A68" s="50" t="s">
        <v>94</v>
      </c>
      <c r="B68" s="56">
        <v>0</v>
      </c>
      <c r="C68" s="56">
        <v>0</v>
      </c>
      <c r="D68" s="56">
        <v>21</v>
      </c>
      <c r="E68" s="56">
        <v>0</v>
      </c>
      <c r="F68" s="56">
        <v>0</v>
      </c>
      <c r="G68" s="56">
        <v>0</v>
      </c>
      <c r="H68" s="56">
        <v>0</v>
      </c>
      <c r="I68" s="56">
        <v>0</v>
      </c>
      <c r="J68" s="52">
        <f t="shared" si="1"/>
        <v>21</v>
      </c>
      <c r="K68" s="53"/>
      <c r="L68" s="54"/>
      <c r="M68" s="54"/>
    </row>
    <row r="69" spans="1:13" ht="14.25" customHeight="1" x14ac:dyDescent="0.25">
      <c r="A69" s="50" t="s">
        <v>95</v>
      </c>
      <c r="B69" s="56">
        <v>0</v>
      </c>
      <c r="C69" s="56">
        <v>0</v>
      </c>
      <c r="D69" s="56">
        <v>13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2">
        <f t="shared" si="1"/>
        <v>13</v>
      </c>
      <c r="K69" s="54">
        <f>J69+J68</f>
        <v>34</v>
      </c>
      <c r="L69" s="54">
        <f>SUM(J66:J69)</f>
        <v>69</v>
      </c>
      <c r="M69" s="54">
        <f>SUM(C66:I69)</f>
        <v>69</v>
      </c>
    </row>
    <row r="70" spans="1:13" ht="14.25" customHeight="1" x14ac:dyDescent="0.25">
      <c r="A70" s="50" t="s">
        <v>96</v>
      </c>
      <c r="B70" s="51"/>
      <c r="C70" s="51"/>
      <c r="D70" s="51"/>
      <c r="E70" s="51"/>
      <c r="F70" s="51"/>
      <c r="G70" s="51"/>
      <c r="H70" s="51"/>
      <c r="I70" s="51"/>
      <c r="J70" s="52">
        <f t="shared" si="1"/>
        <v>0</v>
      </c>
      <c r="K70" s="53"/>
      <c r="L70" s="53"/>
      <c r="M70" s="53"/>
    </row>
    <row r="71" spans="1:13" ht="14.25" customHeight="1" x14ac:dyDescent="0.25">
      <c r="A71" s="50" t="s">
        <v>97</v>
      </c>
      <c r="B71" s="51"/>
      <c r="C71" s="51"/>
      <c r="D71" s="51"/>
      <c r="E71" s="51"/>
      <c r="F71" s="51"/>
      <c r="G71" s="51"/>
      <c r="H71" s="51"/>
      <c r="I71" s="51"/>
      <c r="J71" s="52">
        <f t="shared" si="1"/>
        <v>0</v>
      </c>
      <c r="K71" s="54">
        <f>J71+J70</f>
        <v>0</v>
      </c>
      <c r="L71" s="55"/>
      <c r="M71" s="55"/>
    </row>
    <row r="72" spans="1:13" ht="14.25" customHeight="1" x14ac:dyDescent="0.25">
      <c r="A72" s="50" t="s">
        <v>98</v>
      </c>
      <c r="B72" s="51"/>
      <c r="C72" s="51"/>
      <c r="D72" s="51"/>
      <c r="E72" s="51"/>
      <c r="F72" s="51"/>
      <c r="G72" s="51"/>
      <c r="H72" s="51"/>
      <c r="I72" s="51"/>
      <c r="J72" s="52">
        <f t="shared" si="1"/>
        <v>0</v>
      </c>
      <c r="K72" s="53"/>
      <c r="L72" s="54"/>
      <c r="M72" s="54"/>
    </row>
    <row r="73" spans="1:13" ht="14.25" customHeight="1" x14ac:dyDescent="0.25">
      <c r="A73" s="58" t="s">
        <v>99</v>
      </c>
      <c r="B73" s="51"/>
      <c r="C73" s="51"/>
      <c r="D73" s="51"/>
      <c r="E73" s="51"/>
      <c r="F73" s="51"/>
      <c r="G73" s="51"/>
      <c r="H73" s="51"/>
      <c r="I73" s="51"/>
      <c r="J73" s="52">
        <f t="shared" si="1"/>
        <v>0</v>
      </c>
      <c r="K73" s="54">
        <f>J73+J72</f>
        <v>0</v>
      </c>
      <c r="L73" s="54">
        <f>SUM(J70:J73)</f>
        <v>0</v>
      </c>
      <c r="M73" s="54">
        <f>SUM(C70:I73)</f>
        <v>0</v>
      </c>
    </row>
    <row r="74" spans="1:13" ht="14.25" customHeight="1" x14ac:dyDescent="0.25">
      <c r="A74" s="59" t="s">
        <v>100</v>
      </c>
      <c r="B74" s="51"/>
      <c r="C74" s="51"/>
      <c r="D74" s="51"/>
      <c r="E74" s="51"/>
      <c r="F74" s="51"/>
      <c r="G74" s="51"/>
      <c r="H74" s="51"/>
      <c r="I74" s="51"/>
      <c r="J74" s="52">
        <f t="shared" si="1"/>
        <v>0</v>
      </c>
      <c r="K74" s="53"/>
      <c r="L74" s="53"/>
      <c r="M74" s="53"/>
    </row>
    <row r="75" spans="1:13" ht="14.25" customHeight="1" x14ac:dyDescent="0.25">
      <c r="A75" s="59" t="s">
        <v>101</v>
      </c>
      <c r="B75" s="51"/>
      <c r="C75" s="51"/>
      <c r="D75" s="51"/>
      <c r="E75" s="51"/>
      <c r="F75" s="51"/>
      <c r="G75" s="51"/>
      <c r="H75" s="51"/>
      <c r="I75" s="51"/>
      <c r="J75" s="52">
        <f t="shared" si="1"/>
        <v>0</v>
      </c>
      <c r="K75" s="54">
        <f>J75+J74</f>
        <v>0</v>
      </c>
      <c r="L75" s="55"/>
      <c r="M75" s="55"/>
    </row>
    <row r="76" spans="1:13" ht="14.25" customHeight="1" x14ac:dyDescent="0.25">
      <c r="A76" s="59" t="s">
        <v>102</v>
      </c>
      <c r="B76" s="51"/>
      <c r="C76" s="51"/>
      <c r="D76" s="51"/>
      <c r="E76" s="51"/>
      <c r="F76" s="51"/>
      <c r="G76" s="51"/>
      <c r="H76" s="51"/>
      <c r="I76" s="51"/>
      <c r="J76" s="52">
        <f t="shared" si="1"/>
        <v>0</v>
      </c>
      <c r="K76" s="53"/>
      <c r="L76" s="54"/>
      <c r="M76" s="54"/>
    </row>
    <row r="77" spans="1:13" ht="14.25" customHeight="1" x14ac:dyDescent="0.25">
      <c r="A77" s="59" t="s">
        <v>103</v>
      </c>
      <c r="B77" s="51"/>
      <c r="C77" s="51"/>
      <c r="D77" s="51"/>
      <c r="E77" s="51"/>
      <c r="F77" s="51"/>
      <c r="G77" s="51"/>
      <c r="H77" s="51"/>
      <c r="I77" s="51"/>
      <c r="J77" s="52">
        <f t="shared" si="1"/>
        <v>0</v>
      </c>
      <c r="K77" s="54">
        <f>J77+J76</f>
        <v>0</v>
      </c>
      <c r="L77" s="54">
        <f>SUM(J74:J77)</f>
        <v>0</v>
      </c>
      <c r="M77" s="54">
        <f>SUM(C74:I77)</f>
        <v>0</v>
      </c>
    </row>
    <row r="78" spans="1:13" ht="14.25" customHeight="1" x14ac:dyDescent="0.25">
      <c r="A78" s="59" t="s">
        <v>104</v>
      </c>
      <c r="B78" s="51"/>
      <c r="C78" s="51"/>
      <c r="D78" s="51"/>
      <c r="E78" s="51"/>
      <c r="F78" s="51"/>
      <c r="G78" s="51"/>
      <c r="H78" s="51"/>
      <c r="I78" s="51"/>
      <c r="J78" s="52">
        <f t="shared" ref="J78:J109" si="2">SUMPRODUCT(B78:I78,$B$11:$I$11)</f>
        <v>0</v>
      </c>
      <c r="K78" s="53"/>
      <c r="L78" s="53"/>
      <c r="M78" s="53"/>
    </row>
    <row r="79" spans="1:13" ht="14.25" customHeight="1" x14ac:dyDescent="0.25">
      <c r="A79" s="59" t="s">
        <v>105</v>
      </c>
      <c r="B79" s="51"/>
      <c r="C79" s="51"/>
      <c r="D79" s="51"/>
      <c r="E79" s="51"/>
      <c r="F79" s="51"/>
      <c r="G79" s="51"/>
      <c r="H79" s="51"/>
      <c r="I79" s="51"/>
      <c r="J79" s="52">
        <f t="shared" si="2"/>
        <v>0</v>
      </c>
      <c r="K79" s="54">
        <f>J79+J78</f>
        <v>0</v>
      </c>
      <c r="L79" s="55"/>
      <c r="M79" s="55"/>
    </row>
    <row r="80" spans="1:13" ht="14.25" customHeight="1" x14ac:dyDescent="0.25">
      <c r="A80" s="59" t="s">
        <v>106</v>
      </c>
      <c r="B80" s="51"/>
      <c r="C80" s="51"/>
      <c r="D80" s="51"/>
      <c r="E80" s="51"/>
      <c r="F80" s="51"/>
      <c r="G80" s="51"/>
      <c r="H80" s="51"/>
      <c r="I80" s="51"/>
      <c r="J80" s="52">
        <f t="shared" si="2"/>
        <v>0</v>
      </c>
      <c r="K80" s="53"/>
      <c r="L80" s="54"/>
      <c r="M80" s="54"/>
    </row>
    <row r="81" spans="1:13" ht="14.25" customHeight="1" x14ac:dyDescent="0.25">
      <c r="A81" s="59" t="s">
        <v>107</v>
      </c>
      <c r="B81" s="51"/>
      <c r="C81" s="51"/>
      <c r="D81" s="51"/>
      <c r="E81" s="51"/>
      <c r="F81" s="51"/>
      <c r="G81" s="51"/>
      <c r="H81" s="51"/>
      <c r="I81" s="51"/>
      <c r="J81" s="52">
        <f t="shared" si="2"/>
        <v>0</v>
      </c>
      <c r="K81" s="54">
        <f>J81+J80</f>
        <v>0</v>
      </c>
      <c r="L81" s="54">
        <f>SUM(J78:J81)</f>
        <v>0</v>
      </c>
      <c r="M81" s="54">
        <f>SUM(C78:I81)</f>
        <v>0</v>
      </c>
    </row>
    <row r="82" spans="1:13" ht="14.25" customHeight="1" x14ac:dyDescent="0.45">
      <c r="A82" s="60" t="s">
        <v>108</v>
      </c>
      <c r="B82" s="61">
        <f>SUM(B$14:B81)</f>
        <v>0</v>
      </c>
      <c r="C82" s="61">
        <f>SUM(C$14:C81)</f>
        <v>1</v>
      </c>
      <c r="D82" s="61">
        <f>SUM(D$14:D81)</f>
        <v>851</v>
      </c>
      <c r="E82" s="61">
        <f>SUM(E$14:E81)</f>
        <v>4</v>
      </c>
      <c r="F82" s="61">
        <f>SUM(F$14:F81)</f>
        <v>0</v>
      </c>
      <c r="G82" s="61">
        <f>SUM(G$14:G81)</f>
        <v>11</v>
      </c>
      <c r="H82" s="61">
        <f>SUM(H$14:H81)</f>
        <v>1</v>
      </c>
      <c r="I82" s="61">
        <f>SUM(I$14:I81)</f>
        <v>0</v>
      </c>
      <c r="J82" s="61">
        <f>SUM(B82:I82)</f>
        <v>868</v>
      </c>
      <c r="K82" s="62"/>
      <c r="L82" s="63"/>
      <c r="M82" s="63"/>
    </row>
    <row r="83" spans="1:13" ht="14.25" customHeight="1" x14ac:dyDescent="0.25">
      <c r="L83" s="64"/>
      <c r="M83" s="64"/>
    </row>
    <row r="84" spans="1:13" ht="14.25" customHeight="1" x14ac:dyDescent="0.25">
      <c r="L84" s="65"/>
      <c r="M84" s="65"/>
    </row>
    <row r="85" spans="1:13" ht="14.25" customHeight="1" x14ac:dyDescent="0.25">
      <c r="L85" s="65"/>
      <c r="M85" s="65"/>
    </row>
    <row r="86" spans="1:13" ht="14.25" customHeight="1" x14ac:dyDescent="0.25"/>
    <row r="87" spans="1:13" ht="14.25" customHeight="1" x14ac:dyDescent="0.25"/>
    <row r="88" spans="1:13" ht="14.25" customHeight="1" x14ac:dyDescent="0.25"/>
    <row r="89" spans="1:13" ht="14.25" customHeight="1" x14ac:dyDescent="0.25"/>
    <row r="90" spans="1:13" ht="14.25" customHeight="1" x14ac:dyDescent="0.25"/>
    <row r="91" spans="1:13" ht="14.25" customHeight="1" x14ac:dyDescent="0.25"/>
    <row r="92" spans="1:13" ht="14.25" customHeight="1" x14ac:dyDescent="0.25"/>
    <row r="93" spans="1:13" ht="14.25" customHeight="1" x14ac:dyDescent="0.25"/>
    <row r="94" spans="1:13" ht="14.25" customHeight="1" x14ac:dyDescent="0.25"/>
    <row r="95" spans="1:13" ht="14.25" customHeight="1" x14ac:dyDescent="0.25"/>
    <row r="96" spans="1:1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</sheetData>
  <mergeCells count="2">
    <mergeCell ref="A3:M3"/>
    <mergeCell ref="A4:M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980"/>
  <sheetViews>
    <sheetView topLeftCell="A11" zoomScale="85" zoomScaleNormal="85" workbookViewId="0"/>
  </sheetViews>
  <sheetFormatPr defaultColWidth="15.90625" defaultRowHeight="12.75" customHeight="1" x14ac:dyDescent="0.25"/>
  <cols>
    <col min="1" max="1" width="14.453125" customWidth="1"/>
    <col min="2" max="9" width="6.90625" customWidth="1"/>
    <col min="10" max="13" width="7.453125" customWidth="1"/>
    <col min="16367" max="16384" width="11.54296875" customWidth="1"/>
  </cols>
  <sheetData>
    <row r="1" spans="1:13" ht="14.2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8.75" customHeight="1" x14ac:dyDescent="0.4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35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4.25" customHeight="1" x14ac:dyDescent="0.3">
      <c r="A5" s="24" t="s">
        <v>6</v>
      </c>
      <c r="B5" s="25"/>
      <c r="C5" s="26"/>
      <c r="D5" s="27"/>
      <c r="E5" s="27"/>
      <c r="F5" s="25"/>
      <c r="G5" s="25"/>
      <c r="H5" s="28"/>
      <c r="I5" s="26"/>
      <c r="J5" s="27" t="s">
        <v>3</v>
      </c>
      <c r="K5" s="25">
        <v>0</v>
      </c>
      <c r="L5" s="29"/>
      <c r="M5" s="30"/>
    </row>
    <row r="6" spans="1:13" ht="14.25" customHeight="1" x14ac:dyDescent="0.3">
      <c r="A6" s="31">
        <f>Deckbl.!I11</f>
        <v>45944</v>
      </c>
      <c r="B6" s="9"/>
      <c r="C6" s="8"/>
      <c r="D6" s="8"/>
      <c r="E6" s="9"/>
      <c r="F6" s="9"/>
      <c r="G6" s="9"/>
      <c r="H6" s="9"/>
      <c r="I6" s="8"/>
      <c r="J6" s="12" t="s">
        <v>9</v>
      </c>
      <c r="K6" s="32" t="str">
        <f>Deckbl.!I12</f>
        <v>9-14 ° sonnig</v>
      </c>
      <c r="L6" s="33"/>
      <c r="M6" s="34"/>
    </row>
    <row r="7" spans="1:13" ht="14.25" customHeight="1" x14ac:dyDescent="0.3">
      <c r="A7" s="35"/>
      <c r="B7" s="12" t="s">
        <v>14</v>
      </c>
      <c r="C7" s="36" t="str">
        <f>Deckbl.!C8</f>
        <v>B122 / Badhaller Straße / Holznerweg (Bad Hall)</v>
      </c>
      <c r="D7" s="33"/>
      <c r="E7" s="37"/>
      <c r="F7" s="37"/>
      <c r="G7" s="37"/>
      <c r="H7" s="37"/>
      <c r="I7" s="38"/>
      <c r="J7" s="36"/>
      <c r="K7" s="37"/>
      <c r="L7" s="37"/>
      <c r="M7" s="39"/>
    </row>
    <row r="8" spans="1:13" ht="14.25" customHeight="1" x14ac:dyDescent="0.3">
      <c r="A8" s="35"/>
      <c r="B8" s="12" t="s">
        <v>15</v>
      </c>
      <c r="C8" s="33"/>
      <c r="D8" s="33"/>
      <c r="E8" s="37"/>
      <c r="F8" s="37"/>
      <c r="G8" s="37"/>
      <c r="H8" s="37"/>
      <c r="I8" s="38" t="s">
        <v>7</v>
      </c>
      <c r="J8" s="36" t="s">
        <v>16</v>
      </c>
      <c r="K8" s="40"/>
      <c r="L8" s="37"/>
      <c r="M8" s="39"/>
    </row>
    <row r="9" spans="1:13" ht="14.25" customHeight="1" x14ac:dyDescent="0.3">
      <c r="A9" s="35"/>
      <c r="B9" s="12" t="s">
        <v>17</v>
      </c>
      <c r="C9" s="41" t="s">
        <v>111</v>
      </c>
      <c r="D9" s="8"/>
      <c r="E9" s="9"/>
      <c r="F9" s="9"/>
      <c r="G9" s="9"/>
      <c r="H9" s="9"/>
      <c r="I9" s="12" t="s">
        <v>19</v>
      </c>
      <c r="J9" s="36" t="str">
        <f>Deckbl.!C11</f>
        <v>7-19 Uhr</v>
      </c>
      <c r="K9" s="37"/>
      <c r="L9" s="37"/>
      <c r="M9" s="39"/>
    </row>
    <row r="10" spans="1:13" ht="14.25" customHeight="1" x14ac:dyDescent="0.3">
      <c r="A10" s="35"/>
      <c r="B10" s="38" t="s">
        <v>20</v>
      </c>
      <c r="C10" s="42"/>
      <c r="D10" s="33"/>
      <c r="E10" s="37"/>
      <c r="F10" s="37"/>
      <c r="G10" s="37"/>
      <c r="H10" s="37"/>
      <c r="I10" s="38"/>
      <c r="J10" s="36"/>
      <c r="K10" s="37"/>
      <c r="L10" s="36"/>
      <c r="M10" s="39"/>
    </row>
    <row r="11" spans="1:13" ht="14.25" customHeight="1" x14ac:dyDescent="0.25">
      <c r="A11" s="43" t="s">
        <v>21</v>
      </c>
      <c r="B11" s="44">
        <v>0.3</v>
      </c>
      <c r="C11" s="44">
        <v>0.5</v>
      </c>
      <c r="D11" s="44">
        <v>1</v>
      </c>
      <c r="E11" s="44">
        <v>2</v>
      </c>
      <c r="F11" s="44">
        <v>2</v>
      </c>
      <c r="G11" s="44">
        <v>2</v>
      </c>
      <c r="H11" s="44">
        <v>3</v>
      </c>
      <c r="I11" s="44">
        <v>2</v>
      </c>
      <c r="J11" s="45"/>
      <c r="K11" s="45"/>
      <c r="L11" s="45"/>
      <c r="M11" s="45"/>
    </row>
    <row r="12" spans="1:13" ht="14.25" customHeight="1" x14ac:dyDescent="0.25">
      <c r="A12" s="46"/>
      <c r="B12" s="24"/>
      <c r="C12" s="47" t="s">
        <v>22</v>
      </c>
      <c r="D12" s="24" t="s">
        <v>23</v>
      </c>
      <c r="E12" s="47" t="s">
        <v>24</v>
      </c>
      <c r="F12" s="47" t="s">
        <v>25</v>
      </c>
      <c r="G12" s="24" t="s">
        <v>26</v>
      </c>
      <c r="H12" s="47" t="s">
        <v>27</v>
      </c>
      <c r="I12" s="47" t="s">
        <v>28</v>
      </c>
      <c r="J12" s="48" t="s">
        <v>29</v>
      </c>
      <c r="K12" s="48" t="s">
        <v>29</v>
      </c>
      <c r="L12" s="48" t="s">
        <v>29</v>
      </c>
      <c r="M12" s="48" t="s">
        <v>30</v>
      </c>
    </row>
    <row r="13" spans="1:13" ht="14.25" customHeight="1" x14ac:dyDescent="0.25">
      <c r="A13" s="49" t="s">
        <v>31</v>
      </c>
      <c r="B13" s="47" t="s">
        <v>32</v>
      </c>
      <c r="C13" s="47" t="s">
        <v>30</v>
      </c>
      <c r="D13" s="47" t="s">
        <v>33</v>
      </c>
      <c r="E13" s="47" t="s">
        <v>34</v>
      </c>
      <c r="F13" s="47" t="s">
        <v>34</v>
      </c>
      <c r="G13" s="47"/>
      <c r="H13" s="47" t="s">
        <v>35</v>
      </c>
      <c r="I13" s="47" t="s">
        <v>36</v>
      </c>
      <c r="J13" s="48" t="s">
        <v>37</v>
      </c>
      <c r="K13" s="48" t="s">
        <v>38</v>
      </c>
      <c r="L13" s="48" t="s">
        <v>39</v>
      </c>
      <c r="M13" s="48" t="s">
        <v>39</v>
      </c>
    </row>
    <row r="14" spans="1:13" ht="14.25" customHeight="1" x14ac:dyDescent="0.25">
      <c r="A14" s="50" t="s">
        <v>40</v>
      </c>
      <c r="B14" s="51"/>
      <c r="C14" s="51"/>
      <c r="D14" s="51"/>
      <c r="E14" s="51"/>
      <c r="F14" s="51"/>
      <c r="G14" s="51"/>
      <c r="H14" s="51"/>
      <c r="I14" s="51"/>
      <c r="J14" s="52">
        <f t="shared" ref="J14:J45" si="0">SUMPRODUCT(B14:I14,$B$11:$I$11)</f>
        <v>0</v>
      </c>
      <c r="K14" s="53"/>
      <c r="L14" s="53"/>
      <c r="M14" s="53"/>
    </row>
    <row r="15" spans="1:13" ht="14.25" customHeight="1" x14ac:dyDescent="0.25">
      <c r="A15" s="50" t="s">
        <v>41</v>
      </c>
      <c r="B15" s="51"/>
      <c r="C15" s="51"/>
      <c r="D15" s="51"/>
      <c r="E15" s="51"/>
      <c r="F15" s="51"/>
      <c r="G15" s="51"/>
      <c r="H15" s="51"/>
      <c r="I15" s="51"/>
      <c r="J15" s="52">
        <f t="shared" si="0"/>
        <v>0</v>
      </c>
      <c r="K15" s="54">
        <f>J15+J14</f>
        <v>0</v>
      </c>
      <c r="L15" s="55"/>
      <c r="M15" s="55"/>
    </row>
    <row r="16" spans="1:13" ht="14.25" customHeight="1" x14ac:dyDescent="0.25">
      <c r="A16" s="50" t="s">
        <v>42</v>
      </c>
      <c r="B16" s="51"/>
      <c r="C16" s="51"/>
      <c r="D16" s="51"/>
      <c r="E16" s="51"/>
      <c r="F16" s="51"/>
      <c r="G16" s="51"/>
      <c r="H16" s="51"/>
      <c r="I16" s="51"/>
      <c r="J16" s="52">
        <f t="shared" si="0"/>
        <v>0</v>
      </c>
      <c r="K16" s="53"/>
      <c r="L16" s="54"/>
      <c r="M16" s="54"/>
    </row>
    <row r="17" spans="1:13" ht="14.25" customHeight="1" x14ac:dyDescent="0.25">
      <c r="A17" s="50" t="s">
        <v>43</v>
      </c>
      <c r="B17" s="51"/>
      <c r="C17" s="51"/>
      <c r="D17" s="51"/>
      <c r="E17" s="51"/>
      <c r="F17" s="51"/>
      <c r="G17" s="51"/>
      <c r="H17" s="51"/>
      <c r="I17" s="51"/>
      <c r="J17" s="52">
        <f t="shared" si="0"/>
        <v>0</v>
      </c>
      <c r="K17" s="54">
        <f>J17+J16</f>
        <v>0</v>
      </c>
      <c r="L17" s="54">
        <f>SUM(J14:J17)</f>
        <v>0</v>
      </c>
      <c r="M17" s="54">
        <f>SUM(C14:I17)</f>
        <v>0</v>
      </c>
    </row>
    <row r="18" spans="1:13" ht="14.25" customHeight="1" x14ac:dyDescent="0.25">
      <c r="A18" s="50" t="s">
        <v>44</v>
      </c>
      <c r="B18" s="51"/>
      <c r="C18" s="51"/>
      <c r="D18" s="51"/>
      <c r="E18" s="51"/>
      <c r="F18" s="51"/>
      <c r="G18" s="51"/>
      <c r="H18" s="51"/>
      <c r="I18" s="51"/>
      <c r="J18" s="52">
        <f t="shared" si="0"/>
        <v>0</v>
      </c>
      <c r="K18" s="53"/>
      <c r="L18" s="53"/>
      <c r="M18" s="53"/>
    </row>
    <row r="19" spans="1:13" ht="14.25" customHeight="1" x14ac:dyDescent="0.25">
      <c r="A19" s="50" t="s">
        <v>45</v>
      </c>
      <c r="B19" s="51"/>
      <c r="C19" s="51"/>
      <c r="D19" s="51"/>
      <c r="E19" s="51"/>
      <c r="F19" s="51"/>
      <c r="G19" s="51"/>
      <c r="H19" s="51"/>
      <c r="I19" s="51"/>
      <c r="J19" s="52">
        <f t="shared" si="0"/>
        <v>0</v>
      </c>
      <c r="K19" s="54">
        <f>J19+J18</f>
        <v>0</v>
      </c>
      <c r="L19" s="55"/>
      <c r="M19" s="55"/>
    </row>
    <row r="20" spans="1:13" ht="14.25" customHeight="1" x14ac:dyDescent="0.25">
      <c r="A20" s="50" t="s">
        <v>46</v>
      </c>
      <c r="B20" s="51"/>
      <c r="C20" s="51"/>
      <c r="D20" s="51"/>
      <c r="E20" s="51"/>
      <c r="F20" s="51"/>
      <c r="G20" s="51"/>
      <c r="H20" s="51"/>
      <c r="I20" s="51"/>
      <c r="J20" s="52">
        <f t="shared" si="0"/>
        <v>0</v>
      </c>
      <c r="K20" s="53"/>
      <c r="L20" s="54"/>
      <c r="M20" s="54"/>
    </row>
    <row r="21" spans="1:13" ht="14.25" customHeight="1" x14ac:dyDescent="0.25">
      <c r="A21" s="50" t="s">
        <v>47</v>
      </c>
      <c r="B21" s="51"/>
      <c r="C21" s="51"/>
      <c r="D21" s="51"/>
      <c r="E21" s="51"/>
      <c r="F21" s="51"/>
      <c r="G21" s="51"/>
      <c r="H21" s="51"/>
      <c r="I21" s="51"/>
      <c r="J21" s="52">
        <f t="shared" si="0"/>
        <v>0</v>
      </c>
      <c r="K21" s="54">
        <f>J21+J20</f>
        <v>0</v>
      </c>
      <c r="L21" s="54">
        <f>SUM(J18:J21)</f>
        <v>0</v>
      </c>
      <c r="M21" s="54">
        <f>SUM(C18:I21)</f>
        <v>0</v>
      </c>
    </row>
    <row r="22" spans="1:13" ht="14.25" customHeight="1" x14ac:dyDescent="0.25">
      <c r="A22" s="50" t="s">
        <v>48</v>
      </c>
      <c r="B22" s="56">
        <v>0</v>
      </c>
      <c r="C22" s="56">
        <v>0</v>
      </c>
      <c r="D22" s="56">
        <v>11</v>
      </c>
      <c r="E22" s="56">
        <v>1</v>
      </c>
      <c r="F22" s="56">
        <v>0</v>
      </c>
      <c r="G22" s="56">
        <v>0</v>
      </c>
      <c r="H22" s="56">
        <v>0</v>
      </c>
      <c r="I22" s="56">
        <v>0</v>
      </c>
      <c r="J22" s="52">
        <f t="shared" si="0"/>
        <v>13</v>
      </c>
      <c r="K22" s="53"/>
      <c r="L22" s="53"/>
      <c r="M22" s="53"/>
    </row>
    <row r="23" spans="1:13" ht="14.25" customHeight="1" x14ac:dyDescent="0.25">
      <c r="A23" s="50" t="s">
        <v>49</v>
      </c>
      <c r="B23" s="56">
        <v>0</v>
      </c>
      <c r="C23" s="56">
        <v>0</v>
      </c>
      <c r="D23" s="56">
        <v>16</v>
      </c>
      <c r="E23" s="56">
        <v>0</v>
      </c>
      <c r="F23" s="56">
        <v>0</v>
      </c>
      <c r="G23" s="56">
        <v>0</v>
      </c>
      <c r="H23" s="56">
        <v>1</v>
      </c>
      <c r="I23" s="56">
        <v>0</v>
      </c>
      <c r="J23" s="52">
        <f t="shared" si="0"/>
        <v>19</v>
      </c>
      <c r="K23" s="54">
        <f>J23+J22</f>
        <v>32</v>
      </c>
      <c r="L23" s="55"/>
      <c r="M23" s="55"/>
    </row>
    <row r="24" spans="1:13" ht="14.25" customHeight="1" x14ac:dyDescent="0.25">
      <c r="A24" s="50" t="s">
        <v>50</v>
      </c>
      <c r="B24" s="56">
        <v>0</v>
      </c>
      <c r="C24" s="56">
        <v>1</v>
      </c>
      <c r="D24" s="56">
        <v>14</v>
      </c>
      <c r="E24" s="56">
        <v>0</v>
      </c>
      <c r="F24" s="56">
        <v>0</v>
      </c>
      <c r="G24" s="56">
        <v>1</v>
      </c>
      <c r="H24" s="56">
        <v>0</v>
      </c>
      <c r="I24" s="56">
        <v>0</v>
      </c>
      <c r="J24" s="52">
        <f t="shared" si="0"/>
        <v>16.5</v>
      </c>
      <c r="K24" s="53"/>
      <c r="L24" s="54"/>
      <c r="M24" s="54"/>
    </row>
    <row r="25" spans="1:13" ht="14.25" customHeight="1" x14ac:dyDescent="0.25">
      <c r="A25" s="50" t="s">
        <v>51</v>
      </c>
      <c r="B25" s="56">
        <v>0</v>
      </c>
      <c r="C25" s="56">
        <v>0</v>
      </c>
      <c r="D25" s="56">
        <v>13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2">
        <f t="shared" si="0"/>
        <v>13</v>
      </c>
      <c r="K25" s="54">
        <f>J25+J24</f>
        <v>29.5</v>
      </c>
      <c r="L25" s="54">
        <f>SUM(J22:J25)</f>
        <v>61.5</v>
      </c>
      <c r="M25" s="54">
        <f>SUM(C22:I25)</f>
        <v>58</v>
      </c>
    </row>
    <row r="26" spans="1:13" ht="14.25" customHeight="1" x14ac:dyDescent="0.25">
      <c r="A26" s="50" t="s">
        <v>52</v>
      </c>
      <c r="B26" s="56">
        <v>0</v>
      </c>
      <c r="C26" s="56">
        <v>0</v>
      </c>
      <c r="D26" s="56">
        <v>5</v>
      </c>
      <c r="E26" s="56">
        <v>0</v>
      </c>
      <c r="F26" s="56">
        <v>0</v>
      </c>
      <c r="G26" s="56">
        <v>0</v>
      </c>
      <c r="H26" s="56">
        <v>0</v>
      </c>
      <c r="I26" s="56">
        <v>0</v>
      </c>
      <c r="J26" s="52">
        <f t="shared" si="0"/>
        <v>5</v>
      </c>
      <c r="K26" s="53"/>
      <c r="L26" s="53"/>
      <c r="M26" s="53"/>
    </row>
    <row r="27" spans="1:13" ht="14.25" customHeight="1" x14ac:dyDescent="0.25">
      <c r="A27" s="50" t="s">
        <v>53</v>
      </c>
      <c r="B27" s="56">
        <v>0</v>
      </c>
      <c r="C27" s="56">
        <v>0</v>
      </c>
      <c r="D27" s="56">
        <v>12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52">
        <f t="shared" si="0"/>
        <v>12</v>
      </c>
      <c r="K27" s="54">
        <f>J27+J26</f>
        <v>17</v>
      </c>
      <c r="L27" s="55"/>
      <c r="M27" s="55"/>
    </row>
    <row r="28" spans="1:13" ht="14.25" customHeight="1" x14ac:dyDescent="0.25">
      <c r="A28" s="50" t="s">
        <v>54</v>
      </c>
      <c r="B28" s="56">
        <v>0</v>
      </c>
      <c r="C28" s="56">
        <v>0</v>
      </c>
      <c r="D28" s="56">
        <v>8</v>
      </c>
      <c r="E28" s="56">
        <v>0</v>
      </c>
      <c r="F28" s="56">
        <v>0</v>
      </c>
      <c r="G28" s="56">
        <v>0</v>
      </c>
      <c r="H28" s="56">
        <v>1</v>
      </c>
      <c r="I28" s="56">
        <v>0</v>
      </c>
      <c r="J28" s="52">
        <f t="shared" si="0"/>
        <v>11</v>
      </c>
      <c r="K28" s="53"/>
      <c r="L28" s="54"/>
      <c r="M28" s="54"/>
    </row>
    <row r="29" spans="1:13" ht="14.25" customHeight="1" x14ac:dyDescent="0.25">
      <c r="A29" s="50" t="s">
        <v>55</v>
      </c>
      <c r="B29" s="56">
        <v>0</v>
      </c>
      <c r="C29" s="56">
        <v>0</v>
      </c>
      <c r="D29" s="56">
        <v>15</v>
      </c>
      <c r="E29" s="56">
        <v>0</v>
      </c>
      <c r="F29" s="56">
        <v>0</v>
      </c>
      <c r="G29" s="56">
        <v>1</v>
      </c>
      <c r="H29" s="56">
        <v>0</v>
      </c>
      <c r="I29" s="56">
        <v>0</v>
      </c>
      <c r="J29" s="52">
        <f t="shared" si="0"/>
        <v>17</v>
      </c>
      <c r="K29" s="54">
        <f>J29+J28</f>
        <v>28</v>
      </c>
      <c r="L29" s="54">
        <f>SUM(J26:J29)</f>
        <v>45</v>
      </c>
      <c r="M29" s="54">
        <f>SUM(C26:I29)</f>
        <v>42</v>
      </c>
    </row>
    <row r="30" spans="1:13" ht="14.25" customHeight="1" x14ac:dyDescent="0.25">
      <c r="A30" s="50" t="s">
        <v>56</v>
      </c>
      <c r="B30" s="56">
        <v>0</v>
      </c>
      <c r="C30" s="56">
        <v>0</v>
      </c>
      <c r="D30" s="56">
        <v>12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2">
        <f t="shared" si="0"/>
        <v>12</v>
      </c>
      <c r="K30" s="53"/>
      <c r="L30" s="53"/>
      <c r="M30" s="53"/>
    </row>
    <row r="31" spans="1:13" ht="14.25" customHeight="1" x14ac:dyDescent="0.25">
      <c r="A31" s="50" t="s">
        <v>57</v>
      </c>
      <c r="B31" s="56">
        <v>0</v>
      </c>
      <c r="C31" s="56">
        <v>0</v>
      </c>
      <c r="D31" s="56">
        <v>21</v>
      </c>
      <c r="E31" s="56">
        <v>0</v>
      </c>
      <c r="F31" s="56">
        <v>0</v>
      </c>
      <c r="G31" s="56">
        <v>0</v>
      </c>
      <c r="H31" s="56">
        <v>1</v>
      </c>
      <c r="I31" s="56">
        <v>0</v>
      </c>
      <c r="J31" s="52">
        <f t="shared" si="0"/>
        <v>24</v>
      </c>
      <c r="K31" s="54">
        <f>J31+J30</f>
        <v>36</v>
      </c>
      <c r="L31" s="55"/>
      <c r="M31" s="55"/>
    </row>
    <row r="32" spans="1:13" ht="14.25" customHeight="1" x14ac:dyDescent="0.25">
      <c r="A32" s="50" t="s">
        <v>58</v>
      </c>
      <c r="B32" s="56">
        <v>0</v>
      </c>
      <c r="C32" s="56">
        <v>0</v>
      </c>
      <c r="D32" s="56">
        <v>19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2">
        <f t="shared" si="0"/>
        <v>19</v>
      </c>
      <c r="K32" s="53"/>
      <c r="L32" s="54"/>
      <c r="M32" s="54"/>
    </row>
    <row r="33" spans="1:13" ht="14.25" customHeight="1" x14ac:dyDescent="0.25">
      <c r="A33" s="50" t="s">
        <v>59</v>
      </c>
      <c r="B33" s="56">
        <v>0</v>
      </c>
      <c r="C33" s="56">
        <v>0</v>
      </c>
      <c r="D33" s="56">
        <v>22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2">
        <f t="shared" si="0"/>
        <v>22</v>
      </c>
      <c r="K33" s="54">
        <f>J33+J32</f>
        <v>41</v>
      </c>
      <c r="L33" s="54">
        <f>SUM(J30:J33)</f>
        <v>77</v>
      </c>
      <c r="M33" s="54">
        <f>SUM(C30:I33)</f>
        <v>75</v>
      </c>
    </row>
    <row r="34" spans="1:13" ht="14.25" customHeight="1" x14ac:dyDescent="0.25">
      <c r="A34" s="50" t="s">
        <v>60</v>
      </c>
      <c r="B34" s="56">
        <v>0</v>
      </c>
      <c r="C34" s="56">
        <v>0</v>
      </c>
      <c r="D34" s="56">
        <v>13</v>
      </c>
      <c r="E34" s="56">
        <v>0</v>
      </c>
      <c r="F34" s="56">
        <v>0</v>
      </c>
      <c r="G34" s="56">
        <v>1</v>
      </c>
      <c r="H34" s="56">
        <v>0</v>
      </c>
      <c r="I34" s="56">
        <v>0</v>
      </c>
      <c r="J34" s="52">
        <f t="shared" si="0"/>
        <v>15</v>
      </c>
      <c r="K34" s="53"/>
      <c r="L34" s="53"/>
      <c r="M34" s="53"/>
    </row>
    <row r="35" spans="1:13" ht="14.25" customHeight="1" x14ac:dyDescent="0.25">
      <c r="A35" s="50" t="s">
        <v>61</v>
      </c>
      <c r="B35" s="56">
        <v>0</v>
      </c>
      <c r="C35" s="56">
        <v>0</v>
      </c>
      <c r="D35" s="56">
        <v>14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2">
        <f t="shared" si="0"/>
        <v>14</v>
      </c>
      <c r="K35" s="54">
        <f>J35+J34</f>
        <v>29</v>
      </c>
      <c r="L35" s="55"/>
      <c r="M35" s="55"/>
    </row>
    <row r="36" spans="1:13" ht="14.25" customHeight="1" x14ac:dyDescent="0.25">
      <c r="A36" s="50" t="s">
        <v>62</v>
      </c>
      <c r="B36" s="56">
        <v>0</v>
      </c>
      <c r="C36" s="56">
        <v>0</v>
      </c>
      <c r="D36" s="56">
        <v>20</v>
      </c>
      <c r="E36" s="56">
        <v>0</v>
      </c>
      <c r="F36" s="56">
        <v>0</v>
      </c>
      <c r="G36" s="56">
        <v>1</v>
      </c>
      <c r="H36" s="56">
        <v>0</v>
      </c>
      <c r="I36" s="56">
        <v>0</v>
      </c>
      <c r="J36" s="52">
        <f t="shared" si="0"/>
        <v>22</v>
      </c>
      <c r="K36" s="53"/>
      <c r="L36" s="54"/>
      <c r="M36" s="54"/>
    </row>
    <row r="37" spans="1:13" ht="14.25" customHeight="1" x14ac:dyDescent="0.25">
      <c r="A37" s="50" t="s">
        <v>63</v>
      </c>
      <c r="B37" s="56">
        <v>0</v>
      </c>
      <c r="C37" s="56">
        <v>0</v>
      </c>
      <c r="D37" s="56">
        <v>21</v>
      </c>
      <c r="E37" s="56">
        <v>0</v>
      </c>
      <c r="F37" s="56">
        <v>0</v>
      </c>
      <c r="G37" s="56">
        <v>1</v>
      </c>
      <c r="H37" s="56">
        <v>0</v>
      </c>
      <c r="I37" s="56">
        <v>0</v>
      </c>
      <c r="J37" s="52">
        <f t="shared" si="0"/>
        <v>23</v>
      </c>
      <c r="K37" s="54">
        <f>J37+J36</f>
        <v>45</v>
      </c>
      <c r="L37" s="54">
        <f>SUM(J34:J37)</f>
        <v>74</v>
      </c>
      <c r="M37" s="54">
        <f>SUM(C34:I37)</f>
        <v>71</v>
      </c>
    </row>
    <row r="38" spans="1:13" ht="14.25" customHeight="1" x14ac:dyDescent="0.25">
      <c r="A38" s="50" t="s">
        <v>64</v>
      </c>
      <c r="B38" s="56">
        <v>0</v>
      </c>
      <c r="C38" s="56">
        <v>0</v>
      </c>
      <c r="D38" s="56">
        <v>10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2">
        <f t="shared" si="0"/>
        <v>10</v>
      </c>
      <c r="K38" s="53"/>
      <c r="L38" s="53"/>
      <c r="M38" s="53"/>
    </row>
    <row r="39" spans="1:13" ht="14.25" customHeight="1" x14ac:dyDescent="0.25">
      <c r="A39" s="50" t="s">
        <v>65</v>
      </c>
      <c r="B39" s="56">
        <v>0</v>
      </c>
      <c r="C39" s="56">
        <v>0</v>
      </c>
      <c r="D39" s="56">
        <v>12</v>
      </c>
      <c r="E39" s="56">
        <v>0</v>
      </c>
      <c r="F39" s="56">
        <v>0</v>
      </c>
      <c r="G39" s="56">
        <v>1</v>
      </c>
      <c r="H39" s="56">
        <v>0</v>
      </c>
      <c r="I39" s="56">
        <v>0</v>
      </c>
      <c r="J39" s="52">
        <f t="shared" si="0"/>
        <v>14</v>
      </c>
      <c r="K39" s="54">
        <f>J39+J38</f>
        <v>24</v>
      </c>
      <c r="L39" s="55"/>
      <c r="M39" s="55"/>
    </row>
    <row r="40" spans="1:13" ht="14.25" customHeight="1" x14ac:dyDescent="0.25">
      <c r="A40" s="50" t="s">
        <v>66</v>
      </c>
      <c r="B40" s="56">
        <v>0</v>
      </c>
      <c r="C40" s="56">
        <v>0</v>
      </c>
      <c r="D40" s="56">
        <v>11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2">
        <f t="shared" si="0"/>
        <v>11</v>
      </c>
      <c r="K40" s="53"/>
      <c r="L40" s="54"/>
      <c r="M40" s="54"/>
    </row>
    <row r="41" spans="1:13" ht="14.25" customHeight="1" x14ac:dyDescent="0.25">
      <c r="A41" s="50" t="s">
        <v>67</v>
      </c>
      <c r="B41" s="56">
        <v>0</v>
      </c>
      <c r="C41" s="56">
        <v>0</v>
      </c>
      <c r="D41" s="56">
        <v>12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2">
        <f t="shared" si="0"/>
        <v>12</v>
      </c>
      <c r="K41" s="54">
        <f>J41+J40</f>
        <v>23</v>
      </c>
      <c r="L41" s="54">
        <f>SUM(J38:J41)</f>
        <v>47</v>
      </c>
      <c r="M41" s="54">
        <f>SUM(C38:I41)</f>
        <v>46</v>
      </c>
    </row>
    <row r="42" spans="1:13" ht="14.25" customHeight="1" x14ac:dyDescent="0.25">
      <c r="A42" s="50" t="s">
        <v>68</v>
      </c>
      <c r="B42" s="56">
        <v>0</v>
      </c>
      <c r="C42" s="56">
        <v>0</v>
      </c>
      <c r="D42" s="56">
        <v>18</v>
      </c>
      <c r="E42" s="56">
        <v>1</v>
      </c>
      <c r="F42" s="56">
        <v>0</v>
      </c>
      <c r="G42" s="56">
        <v>1</v>
      </c>
      <c r="H42" s="56">
        <v>0</v>
      </c>
      <c r="I42" s="56">
        <v>0</v>
      </c>
      <c r="J42" s="52">
        <f t="shared" si="0"/>
        <v>22</v>
      </c>
      <c r="K42" s="53"/>
      <c r="L42" s="53"/>
      <c r="M42" s="53"/>
    </row>
    <row r="43" spans="1:13" ht="14.25" customHeight="1" x14ac:dyDescent="0.25">
      <c r="A43" s="50" t="s">
        <v>69</v>
      </c>
      <c r="B43" s="56">
        <v>0</v>
      </c>
      <c r="C43" s="56">
        <v>0</v>
      </c>
      <c r="D43" s="56">
        <v>22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2">
        <f t="shared" si="0"/>
        <v>22</v>
      </c>
      <c r="K43" s="54">
        <f>J43+J42</f>
        <v>44</v>
      </c>
      <c r="L43" s="55"/>
      <c r="M43" s="55"/>
    </row>
    <row r="44" spans="1:13" ht="14.25" customHeight="1" x14ac:dyDescent="0.25">
      <c r="A44" s="50" t="s">
        <v>70</v>
      </c>
      <c r="B44" s="56">
        <v>0</v>
      </c>
      <c r="C44" s="56">
        <v>0</v>
      </c>
      <c r="D44" s="56">
        <v>15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2">
        <f t="shared" si="0"/>
        <v>15</v>
      </c>
      <c r="K44" s="53"/>
      <c r="L44" s="54"/>
      <c r="M44" s="54"/>
    </row>
    <row r="45" spans="1:13" ht="14.25" customHeight="1" x14ac:dyDescent="0.25">
      <c r="A45" s="50" t="s">
        <v>71</v>
      </c>
      <c r="B45" s="56">
        <v>0</v>
      </c>
      <c r="C45" s="56">
        <v>0</v>
      </c>
      <c r="D45" s="56">
        <v>12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2">
        <f t="shared" si="0"/>
        <v>12</v>
      </c>
      <c r="K45" s="54">
        <f>J45+J44</f>
        <v>27</v>
      </c>
      <c r="L45" s="54">
        <f>SUM(J42:J45)</f>
        <v>71</v>
      </c>
      <c r="M45" s="54">
        <f>SUM(C42:I45)</f>
        <v>69</v>
      </c>
    </row>
    <row r="46" spans="1:13" ht="14.25" customHeight="1" x14ac:dyDescent="0.25">
      <c r="A46" s="50" t="s">
        <v>72</v>
      </c>
      <c r="B46" s="56">
        <v>0</v>
      </c>
      <c r="C46" s="56">
        <v>0</v>
      </c>
      <c r="D46" s="56">
        <v>16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2">
        <f t="shared" ref="J46:J77" si="1">SUMPRODUCT(B46:I46,$B$11:$I$11)</f>
        <v>16</v>
      </c>
      <c r="K46" s="53"/>
      <c r="L46" s="53"/>
      <c r="M46" s="53"/>
    </row>
    <row r="47" spans="1:13" ht="14.25" customHeight="1" x14ac:dyDescent="0.25">
      <c r="A47" s="50" t="s">
        <v>73</v>
      </c>
      <c r="B47" s="56">
        <v>0</v>
      </c>
      <c r="C47" s="56">
        <v>0</v>
      </c>
      <c r="D47" s="56">
        <v>18</v>
      </c>
      <c r="E47" s="56">
        <v>0</v>
      </c>
      <c r="F47" s="56">
        <v>0</v>
      </c>
      <c r="G47" s="56">
        <v>1</v>
      </c>
      <c r="H47" s="56">
        <v>0</v>
      </c>
      <c r="I47" s="56">
        <v>0</v>
      </c>
      <c r="J47" s="52">
        <f t="shared" si="1"/>
        <v>20</v>
      </c>
      <c r="K47" s="54">
        <f>J47+J46</f>
        <v>36</v>
      </c>
      <c r="L47" s="55"/>
      <c r="M47" s="55"/>
    </row>
    <row r="48" spans="1:13" ht="14.25" customHeight="1" x14ac:dyDescent="0.25">
      <c r="A48" s="50" t="s">
        <v>74</v>
      </c>
      <c r="B48" s="56">
        <v>0</v>
      </c>
      <c r="C48" s="56">
        <v>0</v>
      </c>
      <c r="D48" s="56">
        <v>15</v>
      </c>
      <c r="E48" s="56">
        <v>0</v>
      </c>
      <c r="F48" s="56">
        <v>0</v>
      </c>
      <c r="G48" s="56">
        <v>1</v>
      </c>
      <c r="H48" s="56">
        <v>0</v>
      </c>
      <c r="I48" s="56">
        <v>0</v>
      </c>
      <c r="J48" s="52">
        <f t="shared" si="1"/>
        <v>17</v>
      </c>
      <c r="K48" s="53"/>
      <c r="L48" s="54"/>
      <c r="M48" s="54"/>
    </row>
    <row r="49" spans="1:13" ht="14.25" customHeight="1" x14ac:dyDescent="0.25">
      <c r="A49" s="50" t="s">
        <v>75</v>
      </c>
      <c r="B49" s="56">
        <v>0</v>
      </c>
      <c r="C49" s="56">
        <v>0</v>
      </c>
      <c r="D49" s="56">
        <v>13</v>
      </c>
      <c r="E49" s="56">
        <v>0</v>
      </c>
      <c r="F49" s="56">
        <v>0</v>
      </c>
      <c r="G49" s="56">
        <v>1</v>
      </c>
      <c r="H49" s="56">
        <v>0</v>
      </c>
      <c r="I49" s="56">
        <v>0</v>
      </c>
      <c r="J49" s="52">
        <f t="shared" si="1"/>
        <v>15</v>
      </c>
      <c r="K49" s="54">
        <f>J49+J48</f>
        <v>32</v>
      </c>
      <c r="L49" s="54">
        <f>SUM(J46:J49)</f>
        <v>68</v>
      </c>
      <c r="M49" s="54">
        <f>SUM(C46:I49)</f>
        <v>65</v>
      </c>
    </row>
    <row r="50" spans="1:13" ht="14.25" customHeight="1" x14ac:dyDescent="0.25">
      <c r="A50" s="50" t="s">
        <v>76</v>
      </c>
      <c r="B50" s="56">
        <v>0</v>
      </c>
      <c r="C50" s="56">
        <v>0</v>
      </c>
      <c r="D50" s="56">
        <v>11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2">
        <f t="shared" si="1"/>
        <v>11</v>
      </c>
      <c r="K50" s="53"/>
      <c r="L50" s="53"/>
      <c r="M50" s="53"/>
    </row>
    <row r="51" spans="1:13" ht="14.25" customHeight="1" x14ac:dyDescent="0.25">
      <c r="A51" s="50" t="s">
        <v>77</v>
      </c>
      <c r="B51" s="56">
        <v>0</v>
      </c>
      <c r="C51" s="56">
        <v>0</v>
      </c>
      <c r="D51" s="56">
        <v>27</v>
      </c>
      <c r="E51" s="56">
        <v>0</v>
      </c>
      <c r="F51" s="56">
        <v>0</v>
      </c>
      <c r="G51" s="56">
        <v>0</v>
      </c>
      <c r="H51" s="56">
        <v>0</v>
      </c>
      <c r="I51" s="56">
        <v>0</v>
      </c>
      <c r="J51" s="52">
        <f t="shared" si="1"/>
        <v>27</v>
      </c>
      <c r="K51" s="54">
        <f>J51+J50</f>
        <v>38</v>
      </c>
      <c r="L51" s="55"/>
      <c r="M51" s="55"/>
    </row>
    <row r="52" spans="1:13" ht="14.25" customHeight="1" x14ac:dyDescent="0.25">
      <c r="A52" s="50" t="s">
        <v>78</v>
      </c>
      <c r="B52" s="56">
        <v>0</v>
      </c>
      <c r="C52" s="56">
        <v>0</v>
      </c>
      <c r="D52" s="56">
        <v>18</v>
      </c>
      <c r="E52" s="56">
        <v>0</v>
      </c>
      <c r="F52" s="56">
        <v>0</v>
      </c>
      <c r="G52" s="56">
        <v>0</v>
      </c>
      <c r="H52" s="56">
        <v>0</v>
      </c>
      <c r="I52" s="56">
        <v>0</v>
      </c>
      <c r="J52" s="52">
        <f t="shared" si="1"/>
        <v>18</v>
      </c>
      <c r="K52" s="53"/>
      <c r="L52" s="54"/>
      <c r="M52" s="54"/>
    </row>
    <row r="53" spans="1:13" ht="14.25" customHeight="1" x14ac:dyDescent="0.25">
      <c r="A53" s="50" t="s">
        <v>79</v>
      </c>
      <c r="B53" s="56">
        <v>1</v>
      </c>
      <c r="C53" s="56">
        <v>0</v>
      </c>
      <c r="D53" s="56">
        <v>21</v>
      </c>
      <c r="E53" s="56">
        <v>0</v>
      </c>
      <c r="F53" s="56">
        <v>0</v>
      </c>
      <c r="G53" s="56">
        <v>1</v>
      </c>
      <c r="H53" s="56">
        <v>0</v>
      </c>
      <c r="I53" s="56">
        <v>0</v>
      </c>
      <c r="J53" s="52">
        <f t="shared" si="1"/>
        <v>23.3</v>
      </c>
      <c r="K53" s="54">
        <f>J53+J52</f>
        <v>41.3</v>
      </c>
      <c r="L53" s="54">
        <f>SUM(J50:J53)</f>
        <v>79.3</v>
      </c>
      <c r="M53" s="54">
        <f>SUM(C50:I53)</f>
        <v>78</v>
      </c>
    </row>
    <row r="54" spans="1:13" ht="14.25" customHeight="1" x14ac:dyDescent="0.25">
      <c r="A54" s="50" t="s">
        <v>80</v>
      </c>
      <c r="B54" s="56">
        <v>0</v>
      </c>
      <c r="C54" s="56">
        <v>0</v>
      </c>
      <c r="D54" s="56">
        <v>23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2">
        <f t="shared" si="1"/>
        <v>23</v>
      </c>
      <c r="K54" s="53"/>
      <c r="L54" s="53"/>
      <c r="M54" s="53"/>
    </row>
    <row r="55" spans="1:13" ht="14.25" customHeight="1" x14ac:dyDescent="0.25">
      <c r="A55" s="50" t="s">
        <v>81</v>
      </c>
      <c r="B55" s="56">
        <v>0</v>
      </c>
      <c r="C55" s="56">
        <v>0</v>
      </c>
      <c r="D55" s="56">
        <v>14</v>
      </c>
      <c r="E55" s="56">
        <v>0</v>
      </c>
      <c r="F55" s="56">
        <v>0</v>
      </c>
      <c r="G55" s="56">
        <v>0</v>
      </c>
      <c r="H55" s="56">
        <v>0</v>
      </c>
      <c r="I55" s="56">
        <v>0</v>
      </c>
      <c r="J55" s="52">
        <f t="shared" si="1"/>
        <v>14</v>
      </c>
      <c r="K55" s="54">
        <f>J55+J54</f>
        <v>37</v>
      </c>
      <c r="L55" s="55"/>
      <c r="M55" s="55"/>
    </row>
    <row r="56" spans="1:13" ht="14.25" customHeight="1" x14ac:dyDescent="0.25">
      <c r="A56" s="50" t="s">
        <v>82</v>
      </c>
      <c r="B56" s="56">
        <v>0</v>
      </c>
      <c r="C56" s="56">
        <v>0</v>
      </c>
      <c r="D56" s="56">
        <v>20</v>
      </c>
      <c r="E56" s="56">
        <v>0</v>
      </c>
      <c r="F56" s="56">
        <v>0</v>
      </c>
      <c r="G56" s="56">
        <v>0</v>
      </c>
      <c r="H56" s="56">
        <v>0</v>
      </c>
      <c r="I56" s="56">
        <v>0</v>
      </c>
      <c r="J56" s="52">
        <f t="shared" si="1"/>
        <v>20</v>
      </c>
      <c r="K56" s="53"/>
      <c r="L56" s="54"/>
      <c r="M56" s="54"/>
    </row>
    <row r="57" spans="1:13" ht="14.25" customHeight="1" x14ac:dyDescent="0.25">
      <c r="A57" s="50" t="s">
        <v>83</v>
      </c>
      <c r="B57" s="56">
        <v>2</v>
      </c>
      <c r="C57" s="56">
        <v>0</v>
      </c>
      <c r="D57" s="56">
        <v>21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2">
        <f t="shared" si="1"/>
        <v>21.6</v>
      </c>
      <c r="K57" s="57">
        <f>J57+J56</f>
        <v>41.6</v>
      </c>
      <c r="L57" s="54">
        <f>SUM(J54:J57)</f>
        <v>78.599999999999994</v>
      </c>
      <c r="M57" s="54">
        <f>SUM(C54:I57)</f>
        <v>78</v>
      </c>
    </row>
    <row r="58" spans="1:13" ht="14.25" customHeight="1" x14ac:dyDescent="0.25">
      <c r="A58" s="50" t="s">
        <v>84</v>
      </c>
      <c r="B58" s="56">
        <v>0</v>
      </c>
      <c r="C58" s="56">
        <v>0</v>
      </c>
      <c r="D58" s="56">
        <v>20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2">
        <f t="shared" si="1"/>
        <v>20</v>
      </c>
      <c r="K58" s="53"/>
      <c r="L58" s="53"/>
      <c r="M58" s="53"/>
    </row>
    <row r="59" spans="1:13" ht="14.25" customHeight="1" x14ac:dyDescent="0.25">
      <c r="A59" s="50" t="s">
        <v>85</v>
      </c>
      <c r="B59" s="56">
        <v>0</v>
      </c>
      <c r="C59" s="56">
        <v>0</v>
      </c>
      <c r="D59" s="56">
        <v>23</v>
      </c>
      <c r="E59" s="56">
        <v>0</v>
      </c>
      <c r="F59" s="56">
        <v>0</v>
      </c>
      <c r="G59" s="56">
        <v>1</v>
      </c>
      <c r="H59" s="56">
        <v>0</v>
      </c>
      <c r="I59" s="56">
        <v>0</v>
      </c>
      <c r="J59" s="52">
        <f t="shared" si="1"/>
        <v>25</v>
      </c>
      <c r="K59" s="54">
        <f>J59+J58</f>
        <v>45</v>
      </c>
      <c r="L59" s="55"/>
      <c r="M59" s="55"/>
    </row>
    <row r="60" spans="1:13" ht="14.25" customHeight="1" x14ac:dyDescent="0.25">
      <c r="A60" s="50" t="s">
        <v>86</v>
      </c>
      <c r="B60" s="56">
        <v>0</v>
      </c>
      <c r="C60" s="56">
        <v>0</v>
      </c>
      <c r="D60" s="56">
        <v>20</v>
      </c>
      <c r="E60" s="56">
        <v>0</v>
      </c>
      <c r="F60" s="56">
        <v>0</v>
      </c>
      <c r="G60" s="56">
        <v>0</v>
      </c>
      <c r="H60" s="56">
        <v>0</v>
      </c>
      <c r="I60" s="56">
        <v>0</v>
      </c>
      <c r="J60" s="52">
        <f t="shared" si="1"/>
        <v>20</v>
      </c>
      <c r="K60" s="53"/>
      <c r="L60" s="54"/>
      <c r="M60" s="54"/>
    </row>
    <row r="61" spans="1:13" ht="14.25" customHeight="1" x14ac:dyDescent="0.25">
      <c r="A61" s="50" t="s">
        <v>87</v>
      </c>
      <c r="B61" s="56">
        <v>0</v>
      </c>
      <c r="C61" s="56">
        <v>0</v>
      </c>
      <c r="D61" s="56">
        <v>21</v>
      </c>
      <c r="E61" s="56">
        <v>0</v>
      </c>
      <c r="F61" s="56">
        <v>0</v>
      </c>
      <c r="G61" s="56">
        <v>0</v>
      </c>
      <c r="H61" s="56">
        <v>0</v>
      </c>
      <c r="I61" s="56">
        <v>0</v>
      </c>
      <c r="J61" s="52">
        <f t="shared" si="1"/>
        <v>21</v>
      </c>
      <c r="K61" s="54">
        <f>J61+J60</f>
        <v>41</v>
      </c>
      <c r="L61" s="54">
        <f>SUM(J58:J61)</f>
        <v>86</v>
      </c>
      <c r="M61" s="54">
        <f>SUM(C58:I61)</f>
        <v>85</v>
      </c>
    </row>
    <row r="62" spans="1:13" ht="14.25" customHeight="1" x14ac:dyDescent="0.25">
      <c r="A62" s="50" t="s">
        <v>88</v>
      </c>
      <c r="B62" s="56">
        <v>0</v>
      </c>
      <c r="C62" s="56">
        <v>0</v>
      </c>
      <c r="D62" s="56">
        <v>17</v>
      </c>
      <c r="E62" s="56">
        <v>0</v>
      </c>
      <c r="F62" s="56">
        <v>0</v>
      </c>
      <c r="G62" s="56">
        <v>0</v>
      </c>
      <c r="H62" s="56">
        <v>0</v>
      </c>
      <c r="I62" s="56">
        <v>0</v>
      </c>
      <c r="J62" s="52">
        <f t="shared" si="1"/>
        <v>17</v>
      </c>
      <c r="K62" s="53"/>
      <c r="L62" s="53"/>
      <c r="M62" s="53"/>
    </row>
    <row r="63" spans="1:13" ht="14.25" customHeight="1" x14ac:dyDescent="0.25">
      <c r="A63" s="50" t="s">
        <v>89</v>
      </c>
      <c r="B63" s="56">
        <v>0</v>
      </c>
      <c r="C63" s="56">
        <v>0</v>
      </c>
      <c r="D63" s="56">
        <v>20</v>
      </c>
      <c r="E63" s="56">
        <v>0</v>
      </c>
      <c r="F63" s="56">
        <v>0</v>
      </c>
      <c r="G63" s="56">
        <v>0</v>
      </c>
      <c r="H63" s="56">
        <v>0</v>
      </c>
      <c r="I63" s="56">
        <v>0</v>
      </c>
      <c r="J63" s="52">
        <f t="shared" si="1"/>
        <v>20</v>
      </c>
      <c r="K63" s="54">
        <f>J63+J62</f>
        <v>37</v>
      </c>
      <c r="L63" s="55"/>
      <c r="M63" s="55"/>
    </row>
    <row r="64" spans="1:13" ht="14.25" customHeight="1" x14ac:dyDescent="0.25">
      <c r="A64" s="50" t="s">
        <v>90</v>
      </c>
      <c r="B64" s="56">
        <v>0</v>
      </c>
      <c r="C64" s="56">
        <v>0</v>
      </c>
      <c r="D64" s="56">
        <v>22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2">
        <f t="shared" si="1"/>
        <v>22</v>
      </c>
      <c r="K64" s="53"/>
      <c r="L64" s="54"/>
      <c r="M64" s="54"/>
    </row>
    <row r="65" spans="1:13" ht="14.25" customHeight="1" x14ac:dyDescent="0.25">
      <c r="A65" s="50" t="s">
        <v>91</v>
      </c>
      <c r="B65" s="56">
        <v>0</v>
      </c>
      <c r="C65" s="56">
        <v>0</v>
      </c>
      <c r="D65" s="56">
        <v>21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2">
        <f t="shared" si="1"/>
        <v>21</v>
      </c>
      <c r="K65" s="54">
        <f>J65+J64</f>
        <v>43</v>
      </c>
      <c r="L65" s="54">
        <f>SUM(J62:J65)</f>
        <v>80</v>
      </c>
      <c r="M65" s="54">
        <f>SUM(C62:I65)</f>
        <v>80</v>
      </c>
    </row>
    <row r="66" spans="1:13" ht="14.25" customHeight="1" x14ac:dyDescent="0.25">
      <c r="A66" s="50" t="s">
        <v>92</v>
      </c>
      <c r="B66" s="56">
        <v>0</v>
      </c>
      <c r="C66" s="56">
        <v>0</v>
      </c>
      <c r="D66" s="56">
        <v>20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2">
        <f t="shared" si="1"/>
        <v>20</v>
      </c>
      <c r="K66" s="53"/>
      <c r="L66" s="53"/>
      <c r="M66" s="53"/>
    </row>
    <row r="67" spans="1:13" ht="14.25" customHeight="1" x14ac:dyDescent="0.25">
      <c r="A67" s="50" t="s">
        <v>93</v>
      </c>
      <c r="B67" s="56">
        <v>0</v>
      </c>
      <c r="C67" s="56">
        <v>0</v>
      </c>
      <c r="D67" s="56">
        <v>19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2">
        <f t="shared" si="1"/>
        <v>19</v>
      </c>
      <c r="K67" s="54">
        <f>J67+J66</f>
        <v>39</v>
      </c>
      <c r="L67" s="55"/>
      <c r="M67" s="55"/>
    </row>
    <row r="68" spans="1:13" ht="14.25" customHeight="1" x14ac:dyDescent="0.25">
      <c r="A68" s="50" t="s">
        <v>94</v>
      </c>
      <c r="B68" s="56">
        <v>0</v>
      </c>
      <c r="C68" s="56">
        <v>0</v>
      </c>
      <c r="D68" s="56">
        <v>17</v>
      </c>
      <c r="E68" s="56">
        <v>0</v>
      </c>
      <c r="F68" s="56">
        <v>0</v>
      </c>
      <c r="G68" s="56">
        <v>0</v>
      </c>
      <c r="H68" s="56">
        <v>0</v>
      </c>
      <c r="I68" s="56">
        <v>0</v>
      </c>
      <c r="J68" s="52">
        <f t="shared" si="1"/>
        <v>17</v>
      </c>
      <c r="K68" s="53"/>
      <c r="L68" s="54"/>
      <c r="M68" s="54"/>
    </row>
    <row r="69" spans="1:13" ht="14.25" customHeight="1" x14ac:dyDescent="0.25">
      <c r="A69" s="50" t="s">
        <v>95</v>
      </c>
      <c r="B69" s="56">
        <v>0</v>
      </c>
      <c r="C69" s="56">
        <v>0</v>
      </c>
      <c r="D69" s="56">
        <v>23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2">
        <f t="shared" si="1"/>
        <v>23</v>
      </c>
      <c r="K69" s="54">
        <f>J69+J68</f>
        <v>40</v>
      </c>
      <c r="L69" s="54">
        <f>SUM(J66:J69)</f>
        <v>79</v>
      </c>
      <c r="M69" s="54">
        <f>SUM(C66:I69)</f>
        <v>79</v>
      </c>
    </row>
    <row r="70" spans="1:13" ht="14.25" customHeight="1" x14ac:dyDescent="0.25">
      <c r="A70" s="50" t="s">
        <v>96</v>
      </c>
      <c r="B70" s="51"/>
      <c r="C70" s="51"/>
      <c r="D70" s="51"/>
      <c r="E70" s="51"/>
      <c r="F70" s="51"/>
      <c r="G70" s="51"/>
      <c r="H70" s="51"/>
      <c r="I70" s="51"/>
      <c r="J70" s="52">
        <f t="shared" si="1"/>
        <v>0</v>
      </c>
      <c r="K70" s="53"/>
      <c r="L70" s="53"/>
      <c r="M70" s="53"/>
    </row>
    <row r="71" spans="1:13" ht="14.25" customHeight="1" x14ac:dyDescent="0.25">
      <c r="A71" s="50" t="s">
        <v>97</v>
      </c>
      <c r="B71" s="51"/>
      <c r="C71" s="51"/>
      <c r="D71" s="51"/>
      <c r="E71" s="51"/>
      <c r="F71" s="51"/>
      <c r="G71" s="51"/>
      <c r="H71" s="51"/>
      <c r="I71" s="51"/>
      <c r="J71" s="52">
        <f t="shared" si="1"/>
        <v>0</v>
      </c>
      <c r="K71" s="54">
        <f>J71+J70</f>
        <v>0</v>
      </c>
      <c r="L71" s="55"/>
      <c r="M71" s="55"/>
    </row>
    <row r="72" spans="1:13" ht="14.25" customHeight="1" x14ac:dyDescent="0.25">
      <c r="A72" s="50" t="s">
        <v>98</v>
      </c>
      <c r="B72" s="51"/>
      <c r="C72" s="51"/>
      <c r="D72" s="51"/>
      <c r="E72" s="51"/>
      <c r="F72" s="51"/>
      <c r="G72" s="51"/>
      <c r="H72" s="51"/>
      <c r="I72" s="51"/>
      <c r="J72" s="52">
        <f t="shared" si="1"/>
        <v>0</v>
      </c>
      <c r="K72" s="53"/>
      <c r="L72" s="54"/>
      <c r="M72" s="54"/>
    </row>
    <row r="73" spans="1:13" ht="14.25" customHeight="1" x14ac:dyDescent="0.25">
      <c r="A73" s="58" t="s">
        <v>99</v>
      </c>
      <c r="B73" s="51"/>
      <c r="C73" s="51"/>
      <c r="D73" s="51"/>
      <c r="E73" s="51"/>
      <c r="F73" s="51"/>
      <c r="G73" s="51"/>
      <c r="H73" s="51"/>
      <c r="I73" s="51"/>
      <c r="J73" s="52">
        <f t="shared" si="1"/>
        <v>0</v>
      </c>
      <c r="K73" s="54">
        <f>J73+J72</f>
        <v>0</v>
      </c>
      <c r="L73" s="54">
        <f>SUM(J70:J73)</f>
        <v>0</v>
      </c>
      <c r="M73" s="54">
        <f>SUM(C70:I73)</f>
        <v>0</v>
      </c>
    </row>
    <row r="74" spans="1:13" ht="14.25" customHeight="1" x14ac:dyDescent="0.25">
      <c r="A74" s="59" t="s">
        <v>100</v>
      </c>
      <c r="B74" s="51"/>
      <c r="C74" s="51"/>
      <c r="D74" s="51"/>
      <c r="E74" s="51"/>
      <c r="F74" s="51"/>
      <c r="G74" s="51"/>
      <c r="H74" s="51"/>
      <c r="I74" s="51"/>
      <c r="J74" s="52">
        <f t="shared" si="1"/>
        <v>0</v>
      </c>
      <c r="K74" s="53"/>
      <c r="L74" s="53"/>
      <c r="M74" s="53"/>
    </row>
    <row r="75" spans="1:13" ht="14.25" customHeight="1" x14ac:dyDescent="0.25">
      <c r="A75" s="59" t="s">
        <v>101</v>
      </c>
      <c r="B75" s="51"/>
      <c r="C75" s="51"/>
      <c r="D75" s="51"/>
      <c r="E75" s="51"/>
      <c r="F75" s="51"/>
      <c r="G75" s="51"/>
      <c r="H75" s="51"/>
      <c r="I75" s="51"/>
      <c r="J75" s="52">
        <f t="shared" si="1"/>
        <v>0</v>
      </c>
      <c r="K75" s="54">
        <f>J75+J74</f>
        <v>0</v>
      </c>
      <c r="L75" s="55"/>
      <c r="M75" s="55"/>
    </row>
    <row r="76" spans="1:13" ht="14.25" customHeight="1" x14ac:dyDescent="0.25">
      <c r="A76" s="59" t="s">
        <v>102</v>
      </c>
      <c r="B76" s="51"/>
      <c r="C76" s="51"/>
      <c r="D76" s="51"/>
      <c r="E76" s="51"/>
      <c r="F76" s="51"/>
      <c r="G76" s="51"/>
      <c r="H76" s="51"/>
      <c r="I76" s="51"/>
      <c r="J76" s="52">
        <f t="shared" si="1"/>
        <v>0</v>
      </c>
      <c r="K76" s="53"/>
      <c r="L76" s="54"/>
      <c r="M76" s="54"/>
    </row>
    <row r="77" spans="1:13" ht="14.25" customHeight="1" x14ac:dyDescent="0.25">
      <c r="A77" s="59" t="s">
        <v>103</v>
      </c>
      <c r="B77" s="51"/>
      <c r="C77" s="51"/>
      <c r="D77" s="51"/>
      <c r="E77" s="51"/>
      <c r="F77" s="51"/>
      <c r="G77" s="51"/>
      <c r="H77" s="51"/>
      <c r="I77" s="51"/>
      <c r="J77" s="52">
        <f t="shared" si="1"/>
        <v>0</v>
      </c>
      <c r="K77" s="54">
        <f>J77+J76</f>
        <v>0</v>
      </c>
      <c r="L77" s="54">
        <f>SUM(J74:J77)</f>
        <v>0</v>
      </c>
      <c r="M77" s="54">
        <f>SUM(C74:I77)</f>
        <v>0</v>
      </c>
    </row>
    <row r="78" spans="1:13" ht="14.25" customHeight="1" x14ac:dyDescent="0.25">
      <c r="A78" s="59" t="s">
        <v>104</v>
      </c>
      <c r="B78" s="51"/>
      <c r="C78" s="51"/>
      <c r="D78" s="51"/>
      <c r="E78" s="51"/>
      <c r="F78" s="51"/>
      <c r="G78" s="51"/>
      <c r="H78" s="51"/>
      <c r="I78" s="51"/>
      <c r="J78" s="52">
        <f t="shared" ref="J78:J109" si="2">SUMPRODUCT(B78:I78,$B$11:$I$11)</f>
        <v>0</v>
      </c>
      <c r="K78" s="53"/>
      <c r="L78" s="53"/>
      <c r="M78" s="53"/>
    </row>
    <row r="79" spans="1:13" ht="14.25" customHeight="1" x14ac:dyDescent="0.25">
      <c r="A79" s="59" t="s">
        <v>105</v>
      </c>
      <c r="B79" s="51"/>
      <c r="C79" s="51"/>
      <c r="D79" s="51"/>
      <c r="E79" s="51"/>
      <c r="F79" s="51"/>
      <c r="G79" s="51"/>
      <c r="H79" s="51"/>
      <c r="I79" s="51"/>
      <c r="J79" s="52">
        <f t="shared" si="2"/>
        <v>0</v>
      </c>
      <c r="K79" s="54">
        <f>J79+J78</f>
        <v>0</v>
      </c>
      <c r="L79" s="55"/>
      <c r="M79" s="55"/>
    </row>
    <row r="80" spans="1:13" ht="14.25" customHeight="1" x14ac:dyDescent="0.25">
      <c r="A80" s="59" t="s">
        <v>106</v>
      </c>
      <c r="B80" s="51"/>
      <c r="C80" s="51"/>
      <c r="D80" s="51"/>
      <c r="E80" s="51"/>
      <c r="F80" s="51"/>
      <c r="G80" s="51"/>
      <c r="H80" s="51"/>
      <c r="I80" s="51"/>
      <c r="J80" s="52">
        <f t="shared" si="2"/>
        <v>0</v>
      </c>
      <c r="K80" s="53"/>
      <c r="L80" s="54"/>
      <c r="M80" s="54"/>
    </row>
    <row r="81" spans="1:13" ht="14.25" customHeight="1" x14ac:dyDescent="0.25">
      <c r="A81" s="59" t="s">
        <v>107</v>
      </c>
      <c r="B81" s="51"/>
      <c r="C81" s="51"/>
      <c r="D81" s="51"/>
      <c r="E81" s="51"/>
      <c r="F81" s="51"/>
      <c r="G81" s="51"/>
      <c r="H81" s="51"/>
      <c r="I81" s="51"/>
      <c r="J81" s="52">
        <f t="shared" si="2"/>
        <v>0</v>
      </c>
      <c r="K81" s="54">
        <f>J81+J80</f>
        <v>0</v>
      </c>
      <c r="L81" s="54">
        <f>SUM(J78:J81)</f>
        <v>0</v>
      </c>
      <c r="M81" s="54">
        <f>SUM(C78:I81)</f>
        <v>0</v>
      </c>
    </row>
    <row r="82" spans="1:13" ht="14.25" customHeight="1" x14ac:dyDescent="0.45">
      <c r="A82" s="60" t="s">
        <v>108</v>
      </c>
      <c r="B82" s="61">
        <f>SUM(B$14:B81)</f>
        <v>3</v>
      </c>
      <c r="C82" s="61">
        <f>SUM(C$14:C81)</f>
        <v>1</v>
      </c>
      <c r="D82" s="61">
        <f>SUM(D$14:D81)</f>
        <v>808</v>
      </c>
      <c r="E82" s="61">
        <f>SUM(E$14:E81)</f>
        <v>2</v>
      </c>
      <c r="F82" s="61">
        <f>SUM(F$14:F81)</f>
        <v>0</v>
      </c>
      <c r="G82" s="61">
        <f>SUM(G$14:G81)</f>
        <v>12</v>
      </c>
      <c r="H82" s="61">
        <f>SUM(H$14:H81)</f>
        <v>3</v>
      </c>
      <c r="I82" s="61">
        <f>SUM(I$14:I81)</f>
        <v>0</v>
      </c>
      <c r="J82" s="61">
        <f>SUM(B82:I82)</f>
        <v>829</v>
      </c>
      <c r="K82" s="62"/>
      <c r="L82" s="63"/>
      <c r="M82" s="63"/>
    </row>
    <row r="83" spans="1:13" ht="14.25" customHeight="1" x14ac:dyDescent="0.25"/>
    <row r="84" spans="1:13" ht="14.25" customHeight="1" x14ac:dyDescent="0.25"/>
    <row r="85" spans="1:13" ht="14.25" customHeight="1" x14ac:dyDescent="0.25"/>
    <row r="86" spans="1:13" ht="14.25" customHeight="1" x14ac:dyDescent="0.25"/>
    <row r="87" spans="1:13" ht="14.25" customHeight="1" x14ac:dyDescent="0.25"/>
    <row r="88" spans="1:13" ht="14.25" customHeight="1" x14ac:dyDescent="0.25"/>
    <row r="89" spans="1:13" ht="14.25" customHeight="1" x14ac:dyDescent="0.25"/>
    <row r="90" spans="1:13" ht="14.25" customHeight="1" x14ac:dyDescent="0.25"/>
    <row r="91" spans="1:13" ht="14.25" customHeight="1" x14ac:dyDescent="0.25"/>
    <row r="92" spans="1:13" ht="14.25" customHeight="1" x14ac:dyDescent="0.25"/>
    <row r="93" spans="1:13" ht="14.25" customHeight="1" x14ac:dyDescent="0.25"/>
    <row r="94" spans="1:13" ht="14.25" customHeight="1" x14ac:dyDescent="0.25"/>
    <row r="95" spans="1:13" ht="14.25" customHeight="1" x14ac:dyDescent="0.25"/>
    <row r="96" spans="1:1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</sheetData>
  <mergeCells count="2">
    <mergeCell ref="A3:M3"/>
    <mergeCell ref="A4:M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980"/>
  <sheetViews>
    <sheetView zoomScale="85" zoomScaleNormal="85" workbookViewId="0"/>
  </sheetViews>
  <sheetFormatPr defaultColWidth="15.90625" defaultRowHeight="12.75" customHeight="1" x14ac:dyDescent="0.25"/>
  <cols>
    <col min="1" max="1" width="14.453125" customWidth="1"/>
    <col min="2" max="9" width="6.90625" customWidth="1"/>
    <col min="10" max="13" width="7.453125" customWidth="1"/>
    <col min="16367" max="16384" width="11.54296875" customWidth="1"/>
  </cols>
  <sheetData>
    <row r="1" spans="1:13" ht="14.2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8.75" customHeight="1" x14ac:dyDescent="0.4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35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4.25" customHeight="1" x14ac:dyDescent="0.3">
      <c r="A5" s="24" t="s">
        <v>6</v>
      </c>
      <c r="B5" s="25"/>
      <c r="C5" s="26"/>
      <c r="D5" s="27"/>
      <c r="E5" s="27"/>
      <c r="F5" s="25"/>
      <c r="G5" s="25"/>
      <c r="H5" s="28"/>
      <c r="I5" s="26"/>
      <c r="J5" s="27" t="s">
        <v>3</v>
      </c>
      <c r="K5" s="25">
        <v>0</v>
      </c>
      <c r="L5" s="29"/>
      <c r="M5" s="30"/>
    </row>
    <row r="6" spans="1:13" ht="14.25" customHeight="1" x14ac:dyDescent="0.3">
      <c r="A6" s="31">
        <f>Deckbl.!I11</f>
        <v>45944</v>
      </c>
      <c r="B6" s="9"/>
      <c r="C6" s="8"/>
      <c r="D6" s="8"/>
      <c r="E6" s="9"/>
      <c r="F6" s="9"/>
      <c r="G6" s="9"/>
      <c r="H6" s="9"/>
      <c r="I6" s="8"/>
      <c r="J6" s="12" t="s">
        <v>9</v>
      </c>
      <c r="K6" s="32" t="str">
        <f>Deckbl.!I12</f>
        <v>9-14 ° sonnig</v>
      </c>
      <c r="L6" s="33"/>
      <c r="M6" s="34"/>
    </row>
    <row r="7" spans="1:13" ht="14.25" customHeight="1" x14ac:dyDescent="0.3">
      <c r="A7" s="35"/>
      <c r="B7" s="12" t="s">
        <v>14</v>
      </c>
      <c r="C7" s="36" t="str">
        <f>Deckbl.!C8</f>
        <v>B122 / Badhaller Straße / Holznerweg (Bad Hall)</v>
      </c>
      <c r="D7" s="33"/>
      <c r="E7" s="37"/>
      <c r="F7" s="37"/>
      <c r="G7" s="37"/>
      <c r="H7" s="37"/>
      <c r="I7" s="38"/>
      <c r="J7" s="36"/>
      <c r="K7" s="37"/>
      <c r="L7" s="37"/>
      <c r="M7" s="39"/>
    </row>
    <row r="8" spans="1:13" ht="14.25" customHeight="1" x14ac:dyDescent="0.3">
      <c r="A8" s="35"/>
      <c r="B8" s="12" t="s">
        <v>15</v>
      </c>
      <c r="C8" s="33"/>
      <c r="D8" s="33"/>
      <c r="E8" s="37"/>
      <c r="F8" s="37"/>
      <c r="G8" s="37"/>
      <c r="H8" s="37"/>
      <c r="I8" s="38" t="s">
        <v>7</v>
      </c>
      <c r="J8" s="36" t="s">
        <v>16</v>
      </c>
      <c r="K8" s="40"/>
      <c r="L8" s="37"/>
      <c r="M8" s="39"/>
    </row>
    <row r="9" spans="1:13" ht="14.25" customHeight="1" x14ac:dyDescent="0.3">
      <c r="A9" s="35"/>
      <c r="B9" s="12" t="s">
        <v>17</v>
      </c>
      <c r="C9" s="41" t="s">
        <v>112</v>
      </c>
      <c r="D9" s="8"/>
      <c r="E9" s="9"/>
      <c r="F9" s="9"/>
      <c r="G9" s="9"/>
      <c r="H9" s="9"/>
      <c r="I9" s="12" t="s">
        <v>19</v>
      </c>
      <c r="J9" s="36" t="str">
        <f>Deckbl.!C11</f>
        <v>7-19 Uhr</v>
      </c>
      <c r="K9" s="37"/>
      <c r="L9" s="37"/>
      <c r="M9" s="39"/>
    </row>
    <row r="10" spans="1:13" ht="14.25" customHeight="1" x14ac:dyDescent="0.3">
      <c r="A10" s="35"/>
      <c r="B10" s="38" t="s">
        <v>20</v>
      </c>
      <c r="C10" s="66"/>
      <c r="D10" s="33"/>
      <c r="E10" s="37"/>
      <c r="F10" s="37"/>
      <c r="G10" s="37"/>
      <c r="H10" s="37"/>
      <c r="I10" s="38"/>
      <c r="J10" s="36"/>
      <c r="K10" s="37"/>
      <c r="L10" s="36"/>
      <c r="M10" s="39"/>
    </row>
    <row r="11" spans="1:13" ht="14.25" customHeight="1" x14ac:dyDescent="0.25">
      <c r="A11" s="43" t="s">
        <v>21</v>
      </c>
      <c r="B11" s="44">
        <v>0.3</v>
      </c>
      <c r="C11" s="44">
        <v>0.5</v>
      </c>
      <c r="D11" s="44">
        <v>1</v>
      </c>
      <c r="E11" s="44">
        <v>2</v>
      </c>
      <c r="F11" s="44">
        <v>2</v>
      </c>
      <c r="G11" s="44">
        <v>2</v>
      </c>
      <c r="H11" s="44">
        <v>3</v>
      </c>
      <c r="I11" s="44">
        <v>2</v>
      </c>
      <c r="J11" s="45"/>
      <c r="K11" s="45"/>
      <c r="L11" s="45"/>
      <c r="M11" s="45"/>
    </row>
    <row r="12" spans="1:13" ht="14.25" customHeight="1" x14ac:dyDescent="0.25">
      <c r="A12" s="46"/>
      <c r="B12" s="24"/>
      <c r="C12" s="47" t="s">
        <v>22</v>
      </c>
      <c r="D12" s="24" t="s">
        <v>23</v>
      </c>
      <c r="E12" s="47" t="s">
        <v>24</v>
      </c>
      <c r="F12" s="47" t="s">
        <v>25</v>
      </c>
      <c r="G12" s="24" t="s">
        <v>26</v>
      </c>
      <c r="H12" s="47" t="s">
        <v>27</v>
      </c>
      <c r="I12" s="47" t="s">
        <v>28</v>
      </c>
      <c r="J12" s="48" t="s">
        <v>29</v>
      </c>
      <c r="K12" s="48" t="s">
        <v>29</v>
      </c>
      <c r="L12" s="48" t="s">
        <v>29</v>
      </c>
      <c r="M12" s="48" t="s">
        <v>30</v>
      </c>
    </row>
    <row r="13" spans="1:13" ht="14.25" customHeight="1" x14ac:dyDescent="0.25">
      <c r="A13" s="49" t="s">
        <v>31</v>
      </c>
      <c r="B13" s="47" t="s">
        <v>32</v>
      </c>
      <c r="C13" s="47" t="s">
        <v>30</v>
      </c>
      <c r="D13" s="47" t="s">
        <v>33</v>
      </c>
      <c r="E13" s="47" t="s">
        <v>34</v>
      </c>
      <c r="F13" s="47" t="s">
        <v>34</v>
      </c>
      <c r="G13" s="47"/>
      <c r="H13" s="47" t="s">
        <v>35</v>
      </c>
      <c r="I13" s="47" t="s">
        <v>36</v>
      </c>
      <c r="J13" s="48" t="s">
        <v>37</v>
      </c>
      <c r="K13" s="48" t="s">
        <v>38</v>
      </c>
      <c r="L13" s="48" t="s">
        <v>39</v>
      </c>
      <c r="M13" s="48" t="s">
        <v>39</v>
      </c>
    </row>
    <row r="14" spans="1:13" ht="14.25" customHeight="1" x14ac:dyDescent="0.25">
      <c r="A14" s="50" t="s">
        <v>40</v>
      </c>
      <c r="B14" s="51"/>
      <c r="C14" s="51"/>
      <c r="D14" s="51"/>
      <c r="E14" s="51"/>
      <c r="F14" s="51"/>
      <c r="G14" s="51"/>
      <c r="H14" s="51"/>
      <c r="I14" s="51"/>
      <c r="J14" s="52">
        <f t="shared" ref="J14:J45" si="0">SUMPRODUCT(B14:I14,$B$11:$I$11)</f>
        <v>0</v>
      </c>
      <c r="K14" s="53"/>
      <c r="L14" s="53"/>
      <c r="M14" s="53"/>
    </row>
    <row r="15" spans="1:13" ht="14.25" customHeight="1" x14ac:dyDescent="0.25">
      <c r="A15" s="50" t="s">
        <v>41</v>
      </c>
      <c r="B15" s="51"/>
      <c r="C15" s="51"/>
      <c r="D15" s="51"/>
      <c r="E15" s="51"/>
      <c r="F15" s="51"/>
      <c r="G15" s="51"/>
      <c r="H15" s="51"/>
      <c r="I15" s="51"/>
      <c r="J15" s="52">
        <f t="shared" si="0"/>
        <v>0</v>
      </c>
      <c r="K15" s="54">
        <f>J15+J14</f>
        <v>0</v>
      </c>
      <c r="L15" s="55"/>
      <c r="M15" s="55"/>
    </row>
    <row r="16" spans="1:13" ht="14.25" customHeight="1" x14ac:dyDescent="0.25">
      <c r="A16" s="50" t="s">
        <v>42</v>
      </c>
      <c r="B16" s="51"/>
      <c r="C16" s="51"/>
      <c r="D16" s="51"/>
      <c r="E16" s="51"/>
      <c r="F16" s="51"/>
      <c r="G16" s="51"/>
      <c r="H16" s="51"/>
      <c r="I16" s="51"/>
      <c r="J16" s="52">
        <f t="shared" si="0"/>
        <v>0</v>
      </c>
      <c r="K16" s="53"/>
      <c r="L16" s="54"/>
      <c r="M16" s="54"/>
    </row>
    <row r="17" spans="1:13" ht="14.25" customHeight="1" x14ac:dyDescent="0.25">
      <c r="A17" s="50" t="s">
        <v>43</v>
      </c>
      <c r="B17" s="51"/>
      <c r="C17" s="51"/>
      <c r="D17" s="51"/>
      <c r="E17" s="51"/>
      <c r="F17" s="51"/>
      <c r="G17" s="51"/>
      <c r="H17" s="51"/>
      <c r="I17" s="51"/>
      <c r="J17" s="52">
        <f t="shared" si="0"/>
        <v>0</v>
      </c>
      <c r="K17" s="54">
        <f>J17+J16</f>
        <v>0</v>
      </c>
      <c r="L17" s="54">
        <f>SUM(J14:J17)</f>
        <v>0</v>
      </c>
      <c r="M17" s="54">
        <f>SUM(C14:I17)</f>
        <v>0</v>
      </c>
    </row>
    <row r="18" spans="1:13" ht="14.25" customHeight="1" x14ac:dyDescent="0.25">
      <c r="A18" s="50" t="s">
        <v>44</v>
      </c>
      <c r="B18" s="51"/>
      <c r="C18" s="51"/>
      <c r="D18" s="51"/>
      <c r="E18" s="51"/>
      <c r="F18" s="51"/>
      <c r="G18" s="51"/>
      <c r="H18" s="51"/>
      <c r="I18" s="51"/>
      <c r="J18" s="52">
        <f t="shared" si="0"/>
        <v>0</v>
      </c>
      <c r="K18" s="53"/>
      <c r="L18" s="53"/>
      <c r="M18" s="53"/>
    </row>
    <row r="19" spans="1:13" ht="14.25" customHeight="1" x14ac:dyDescent="0.25">
      <c r="A19" s="50" t="s">
        <v>45</v>
      </c>
      <c r="B19" s="51"/>
      <c r="C19" s="51"/>
      <c r="D19" s="51"/>
      <c r="E19" s="51"/>
      <c r="F19" s="51"/>
      <c r="G19" s="51"/>
      <c r="H19" s="51"/>
      <c r="I19" s="51"/>
      <c r="J19" s="52">
        <f t="shared" si="0"/>
        <v>0</v>
      </c>
      <c r="K19" s="54">
        <f>J19+J18</f>
        <v>0</v>
      </c>
      <c r="L19" s="55"/>
      <c r="M19" s="55"/>
    </row>
    <row r="20" spans="1:13" ht="14.25" customHeight="1" x14ac:dyDescent="0.25">
      <c r="A20" s="50" t="s">
        <v>46</v>
      </c>
      <c r="B20" s="51"/>
      <c r="C20" s="51"/>
      <c r="D20" s="51"/>
      <c r="E20" s="51"/>
      <c r="F20" s="51"/>
      <c r="G20" s="51"/>
      <c r="H20" s="51"/>
      <c r="I20" s="51"/>
      <c r="J20" s="52">
        <f t="shared" si="0"/>
        <v>0</v>
      </c>
      <c r="K20" s="53"/>
      <c r="L20" s="54"/>
      <c r="M20" s="54"/>
    </row>
    <row r="21" spans="1:13" ht="14.25" customHeight="1" x14ac:dyDescent="0.25">
      <c r="A21" s="50" t="s">
        <v>47</v>
      </c>
      <c r="B21" s="51"/>
      <c r="C21" s="51"/>
      <c r="D21" s="51"/>
      <c r="E21" s="51"/>
      <c r="F21" s="51"/>
      <c r="G21" s="51"/>
      <c r="H21" s="51"/>
      <c r="I21" s="51"/>
      <c r="J21" s="52">
        <f t="shared" si="0"/>
        <v>0</v>
      </c>
      <c r="K21" s="54">
        <f>J21+J20</f>
        <v>0</v>
      </c>
      <c r="L21" s="54">
        <f>SUM(J18:J21)</f>
        <v>0</v>
      </c>
      <c r="M21" s="54">
        <f>SUM(C18:I21)</f>
        <v>0</v>
      </c>
    </row>
    <row r="22" spans="1:13" ht="14.25" customHeight="1" x14ac:dyDescent="0.25">
      <c r="A22" s="50" t="s">
        <v>48</v>
      </c>
      <c r="B22" s="56">
        <v>0</v>
      </c>
      <c r="C22" s="56">
        <v>0</v>
      </c>
      <c r="D22" s="56">
        <v>11</v>
      </c>
      <c r="E22" s="56">
        <v>0</v>
      </c>
      <c r="F22" s="56">
        <v>0</v>
      </c>
      <c r="G22" s="56">
        <v>0</v>
      </c>
      <c r="H22" s="56">
        <v>0</v>
      </c>
      <c r="I22" s="56">
        <v>0</v>
      </c>
      <c r="J22" s="52">
        <f t="shared" si="0"/>
        <v>11</v>
      </c>
      <c r="K22" s="53"/>
      <c r="L22" s="53"/>
      <c r="M22" s="53"/>
    </row>
    <row r="23" spans="1:13" ht="14.25" customHeight="1" x14ac:dyDescent="0.25">
      <c r="A23" s="50" t="s">
        <v>49</v>
      </c>
      <c r="B23" s="56">
        <v>2</v>
      </c>
      <c r="C23" s="56">
        <v>0</v>
      </c>
      <c r="D23" s="56">
        <v>8</v>
      </c>
      <c r="E23" s="56">
        <v>0</v>
      </c>
      <c r="F23" s="56">
        <v>0</v>
      </c>
      <c r="G23" s="56">
        <v>1</v>
      </c>
      <c r="H23" s="56">
        <v>0</v>
      </c>
      <c r="I23" s="56">
        <v>0</v>
      </c>
      <c r="J23" s="52">
        <f t="shared" si="0"/>
        <v>10.6</v>
      </c>
      <c r="K23" s="54">
        <f>J23+J22</f>
        <v>21.6</v>
      </c>
      <c r="L23" s="55"/>
      <c r="M23" s="55"/>
    </row>
    <row r="24" spans="1:13" ht="14.25" customHeight="1" x14ac:dyDescent="0.25">
      <c r="A24" s="50" t="s">
        <v>50</v>
      </c>
      <c r="B24" s="56">
        <v>0</v>
      </c>
      <c r="C24" s="56">
        <v>0</v>
      </c>
      <c r="D24" s="56">
        <v>14</v>
      </c>
      <c r="E24" s="56">
        <v>0</v>
      </c>
      <c r="F24" s="56">
        <v>0</v>
      </c>
      <c r="G24" s="56">
        <v>0</v>
      </c>
      <c r="H24" s="56">
        <v>0</v>
      </c>
      <c r="I24" s="56">
        <v>0</v>
      </c>
      <c r="J24" s="52">
        <f t="shared" si="0"/>
        <v>14</v>
      </c>
      <c r="K24" s="53"/>
      <c r="L24" s="54"/>
      <c r="M24" s="54"/>
    </row>
    <row r="25" spans="1:13" ht="14.25" customHeight="1" x14ac:dyDescent="0.25">
      <c r="A25" s="50" t="s">
        <v>51</v>
      </c>
      <c r="B25" s="56">
        <v>0</v>
      </c>
      <c r="C25" s="56">
        <v>0</v>
      </c>
      <c r="D25" s="56">
        <v>11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2">
        <f t="shared" si="0"/>
        <v>11</v>
      </c>
      <c r="K25" s="54">
        <f>J25+J24</f>
        <v>25</v>
      </c>
      <c r="L25" s="54">
        <f>SUM(J22:J25)</f>
        <v>46.6</v>
      </c>
      <c r="M25" s="54">
        <f>SUM(C22:I25)</f>
        <v>45</v>
      </c>
    </row>
    <row r="26" spans="1:13" ht="14.25" customHeight="1" x14ac:dyDescent="0.25">
      <c r="A26" s="50" t="s">
        <v>52</v>
      </c>
      <c r="B26" s="56">
        <v>0</v>
      </c>
      <c r="C26" s="56">
        <v>0</v>
      </c>
      <c r="D26" s="56">
        <v>6</v>
      </c>
      <c r="E26" s="56">
        <v>0</v>
      </c>
      <c r="F26" s="56">
        <v>0</v>
      </c>
      <c r="G26" s="56">
        <v>0</v>
      </c>
      <c r="H26" s="56">
        <v>0</v>
      </c>
      <c r="I26" s="56">
        <v>0</v>
      </c>
      <c r="J26" s="52">
        <f t="shared" si="0"/>
        <v>6</v>
      </c>
      <c r="K26" s="53"/>
      <c r="L26" s="53"/>
      <c r="M26" s="53"/>
    </row>
    <row r="27" spans="1:13" ht="14.25" customHeight="1" x14ac:dyDescent="0.25">
      <c r="A27" s="50" t="s">
        <v>53</v>
      </c>
      <c r="B27" s="56">
        <v>1</v>
      </c>
      <c r="C27" s="56">
        <v>0</v>
      </c>
      <c r="D27" s="56">
        <v>8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52">
        <f t="shared" si="0"/>
        <v>8.3000000000000007</v>
      </c>
      <c r="K27" s="54">
        <f>J27+J26</f>
        <v>14.3</v>
      </c>
      <c r="L27" s="55"/>
      <c r="M27" s="55"/>
    </row>
    <row r="28" spans="1:13" ht="14.25" customHeight="1" x14ac:dyDescent="0.25">
      <c r="A28" s="50" t="s">
        <v>54</v>
      </c>
      <c r="B28" s="56">
        <v>0</v>
      </c>
      <c r="C28" s="56">
        <v>0</v>
      </c>
      <c r="D28" s="56">
        <v>11</v>
      </c>
      <c r="E28" s="56">
        <v>0</v>
      </c>
      <c r="F28" s="56">
        <v>0</v>
      </c>
      <c r="G28" s="56">
        <v>0</v>
      </c>
      <c r="H28" s="56">
        <v>0</v>
      </c>
      <c r="I28" s="56">
        <v>0</v>
      </c>
      <c r="J28" s="52">
        <f t="shared" si="0"/>
        <v>11</v>
      </c>
      <c r="K28" s="53"/>
      <c r="L28" s="54"/>
      <c r="M28" s="54"/>
    </row>
    <row r="29" spans="1:13" ht="14.25" customHeight="1" x14ac:dyDescent="0.25">
      <c r="A29" s="50" t="s">
        <v>55</v>
      </c>
      <c r="B29" s="56">
        <v>0</v>
      </c>
      <c r="C29" s="56">
        <v>0</v>
      </c>
      <c r="D29" s="56">
        <v>17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52">
        <f t="shared" si="0"/>
        <v>17</v>
      </c>
      <c r="K29" s="54">
        <f>J29+J28</f>
        <v>28</v>
      </c>
      <c r="L29" s="54">
        <f>SUM(J26:J29)</f>
        <v>42.3</v>
      </c>
      <c r="M29" s="54">
        <f>SUM(C26:I29)</f>
        <v>42</v>
      </c>
    </row>
    <row r="30" spans="1:13" ht="14.25" customHeight="1" x14ac:dyDescent="0.25">
      <c r="A30" s="50" t="s">
        <v>56</v>
      </c>
      <c r="B30" s="56">
        <v>0</v>
      </c>
      <c r="C30" s="56">
        <v>0</v>
      </c>
      <c r="D30" s="56">
        <v>6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2">
        <f t="shared" si="0"/>
        <v>6</v>
      </c>
      <c r="K30" s="53"/>
      <c r="L30" s="53"/>
      <c r="M30" s="53"/>
    </row>
    <row r="31" spans="1:13" ht="14.25" customHeight="1" x14ac:dyDescent="0.25">
      <c r="A31" s="50" t="s">
        <v>57</v>
      </c>
      <c r="B31" s="56">
        <v>0</v>
      </c>
      <c r="C31" s="56">
        <v>0</v>
      </c>
      <c r="D31" s="56">
        <v>8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2">
        <f t="shared" si="0"/>
        <v>8</v>
      </c>
      <c r="K31" s="54">
        <f>J31+J30</f>
        <v>14</v>
      </c>
      <c r="L31" s="55"/>
      <c r="M31" s="55"/>
    </row>
    <row r="32" spans="1:13" ht="14.25" customHeight="1" x14ac:dyDescent="0.25">
      <c r="A32" s="50" t="s">
        <v>58</v>
      </c>
      <c r="B32" s="56">
        <v>1</v>
      </c>
      <c r="C32" s="56">
        <v>0</v>
      </c>
      <c r="D32" s="56">
        <v>4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2">
        <f t="shared" si="0"/>
        <v>4.3</v>
      </c>
      <c r="K32" s="53"/>
      <c r="L32" s="54"/>
      <c r="M32" s="54"/>
    </row>
    <row r="33" spans="1:13" ht="14.25" customHeight="1" x14ac:dyDescent="0.25">
      <c r="A33" s="50" t="s">
        <v>59</v>
      </c>
      <c r="B33" s="56">
        <v>0</v>
      </c>
      <c r="C33" s="56">
        <v>0</v>
      </c>
      <c r="D33" s="56">
        <v>16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2">
        <f t="shared" si="0"/>
        <v>16</v>
      </c>
      <c r="K33" s="54">
        <f>J33+J32</f>
        <v>20.3</v>
      </c>
      <c r="L33" s="54">
        <f>SUM(J30:J33)</f>
        <v>34.299999999999997</v>
      </c>
      <c r="M33" s="54">
        <f>SUM(C30:I33)</f>
        <v>34</v>
      </c>
    </row>
    <row r="34" spans="1:13" ht="14.25" customHeight="1" x14ac:dyDescent="0.25">
      <c r="A34" s="50" t="s">
        <v>60</v>
      </c>
      <c r="B34" s="56">
        <v>0</v>
      </c>
      <c r="C34" s="56">
        <v>0</v>
      </c>
      <c r="D34" s="56">
        <v>8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2">
        <f t="shared" si="0"/>
        <v>8</v>
      </c>
      <c r="K34" s="53"/>
      <c r="L34" s="53"/>
      <c r="M34" s="53"/>
    </row>
    <row r="35" spans="1:13" ht="14.25" customHeight="1" x14ac:dyDescent="0.25">
      <c r="A35" s="50" t="s">
        <v>61</v>
      </c>
      <c r="B35" s="56">
        <v>0</v>
      </c>
      <c r="C35" s="56">
        <v>0</v>
      </c>
      <c r="D35" s="56">
        <v>13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2">
        <f t="shared" si="0"/>
        <v>13</v>
      </c>
      <c r="K35" s="54">
        <f>J35+J34</f>
        <v>21</v>
      </c>
      <c r="L35" s="55"/>
      <c r="M35" s="55"/>
    </row>
    <row r="36" spans="1:13" ht="14.25" customHeight="1" x14ac:dyDescent="0.25">
      <c r="A36" s="50" t="s">
        <v>62</v>
      </c>
      <c r="B36" s="56">
        <v>0</v>
      </c>
      <c r="C36" s="56">
        <v>0</v>
      </c>
      <c r="D36" s="56">
        <v>16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2">
        <f t="shared" si="0"/>
        <v>16</v>
      </c>
      <c r="K36" s="53"/>
      <c r="L36" s="54"/>
      <c r="M36" s="54"/>
    </row>
    <row r="37" spans="1:13" ht="14.25" customHeight="1" x14ac:dyDescent="0.25">
      <c r="A37" s="50" t="s">
        <v>63</v>
      </c>
      <c r="B37" s="56">
        <v>1</v>
      </c>
      <c r="C37" s="56">
        <v>0</v>
      </c>
      <c r="D37" s="56">
        <v>17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2">
        <f t="shared" si="0"/>
        <v>17.3</v>
      </c>
      <c r="K37" s="54">
        <f>J37+J36</f>
        <v>33.299999999999997</v>
      </c>
      <c r="L37" s="54">
        <f>SUM(J34:J37)</f>
        <v>54.3</v>
      </c>
      <c r="M37" s="54">
        <f>SUM(C34:I37)</f>
        <v>54</v>
      </c>
    </row>
    <row r="38" spans="1:13" ht="14.25" customHeight="1" x14ac:dyDescent="0.25">
      <c r="A38" s="50" t="s">
        <v>64</v>
      </c>
      <c r="B38" s="56">
        <v>2</v>
      </c>
      <c r="C38" s="56">
        <v>0</v>
      </c>
      <c r="D38" s="56">
        <v>19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2">
        <f t="shared" si="0"/>
        <v>19.600000000000001</v>
      </c>
      <c r="K38" s="53"/>
      <c r="L38" s="53"/>
      <c r="M38" s="53"/>
    </row>
    <row r="39" spans="1:13" ht="14.25" customHeight="1" x14ac:dyDescent="0.25">
      <c r="A39" s="50" t="s">
        <v>65</v>
      </c>
      <c r="B39" s="56">
        <v>3</v>
      </c>
      <c r="C39" s="56">
        <v>0</v>
      </c>
      <c r="D39" s="56">
        <v>22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2">
        <f t="shared" si="0"/>
        <v>22.9</v>
      </c>
      <c r="K39" s="54">
        <f>J39+J38</f>
        <v>42.5</v>
      </c>
      <c r="L39" s="55"/>
      <c r="M39" s="55"/>
    </row>
    <row r="40" spans="1:13" ht="14.25" customHeight="1" x14ac:dyDescent="0.25">
      <c r="A40" s="50" t="s">
        <v>66</v>
      </c>
      <c r="B40" s="56">
        <v>1</v>
      </c>
      <c r="C40" s="56">
        <v>0</v>
      </c>
      <c r="D40" s="56">
        <v>13</v>
      </c>
      <c r="E40" s="56">
        <v>1</v>
      </c>
      <c r="F40" s="56">
        <v>0</v>
      </c>
      <c r="G40" s="56">
        <v>0</v>
      </c>
      <c r="H40" s="56">
        <v>0</v>
      </c>
      <c r="I40" s="56">
        <v>0</v>
      </c>
      <c r="J40" s="52">
        <f t="shared" si="0"/>
        <v>15.3</v>
      </c>
      <c r="K40" s="53"/>
      <c r="L40" s="54"/>
      <c r="M40" s="54"/>
    </row>
    <row r="41" spans="1:13" ht="14.25" customHeight="1" x14ac:dyDescent="0.25">
      <c r="A41" s="50" t="s">
        <v>67</v>
      </c>
      <c r="B41" s="56">
        <v>0</v>
      </c>
      <c r="C41" s="56">
        <v>0</v>
      </c>
      <c r="D41" s="56">
        <v>17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2">
        <f t="shared" si="0"/>
        <v>17</v>
      </c>
      <c r="K41" s="54">
        <f>J41+J40</f>
        <v>32.299999999999997</v>
      </c>
      <c r="L41" s="54">
        <f>SUM(J38:J41)</f>
        <v>74.8</v>
      </c>
      <c r="M41" s="54">
        <f>SUM(C38:I41)</f>
        <v>72</v>
      </c>
    </row>
    <row r="42" spans="1:13" ht="14.25" customHeight="1" x14ac:dyDescent="0.25">
      <c r="A42" s="50" t="s">
        <v>68</v>
      </c>
      <c r="B42" s="56">
        <v>0</v>
      </c>
      <c r="C42" s="56">
        <v>0</v>
      </c>
      <c r="D42" s="56">
        <v>16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2">
        <f t="shared" si="0"/>
        <v>16</v>
      </c>
      <c r="K42" s="53"/>
      <c r="L42" s="53"/>
      <c r="M42" s="53"/>
    </row>
    <row r="43" spans="1:13" ht="14.25" customHeight="1" x14ac:dyDescent="0.25">
      <c r="A43" s="50" t="s">
        <v>69</v>
      </c>
      <c r="B43" s="56">
        <v>0</v>
      </c>
      <c r="C43" s="56">
        <v>0</v>
      </c>
      <c r="D43" s="56">
        <v>16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2">
        <f t="shared" si="0"/>
        <v>16</v>
      </c>
      <c r="K43" s="54">
        <f>J43+J42</f>
        <v>32</v>
      </c>
      <c r="L43" s="55"/>
      <c r="M43" s="55"/>
    </row>
    <row r="44" spans="1:13" ht="14.25" customHeight="1" x14ac:dyDescent="0.25">
      <c r="A44" s="50" t="s">
        <v>70</v>
      </c>
      <c r="B44" s="56">
        <v>0</v>
      </c>
      <c r="C44" s="56">
        <v>0</v>
      </c>
      <c r="D44" s="56">
        <v>22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2">
        <f t="shared" si="0"/>
        <v>22</v>
      </c>
      <c r="K44" s="53"/>
      <c r="L44" s="54"/>
      <c r="M44" s="54"/>
    </row>
    <row r="45" spans="1:13" ht="14.25" customHeight="1" x14ac:dyDescent="0.25">
      <c r="A45" s="50" t="s">
        <v>71</v>
      </c>
      <c r="B45" s="56">
        <v>0</v>
      </c>
      <c r="C45" s="56">
        <v>0</v>
      </c>
      <c r="D45" s="56">
        <v>11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2">
        <f t="shared" si="0"/>
        <v>11</v>
      </c>
      <c r="K45" s="54">
        <f>J45+J44</f>
        <v>33</v>
      </c>
      <c r="L45" s="54">
        <f>SUM(J42:J45)</f>
        <v>65</v>
      </c>
      <c r="M45" s="54">
        <f>SUM(C42:I45)</f>
        <v>65</v>
      </c>
    </row>
    <row r="46" spans="1:13" ht="14.25" customHeight="1" x14ac:dyDescent="0.25">
      <c r="A46" s="50" t="s">
        <v>72</v>
      </c>
      <c r="B46" s="56">
        <v>0</v>
      </c>
      <c r="C46" s="56">
        <v>0</v>
      </c>
      <c r="D46" s="56">
        <v>8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2">
        <f t="shared" ref="J46:J77" si="1">SUMPRODUCT(B46:I46,$B$11:$I$11)</f>
        <v>8</v>
      </c>
      <c r="K46" s="53"/>
      <c r="L46" s="53"/>
      <c r="M46" s="53"/>
    </row>
    <row r="47" spans="1:13" ht="14.25" customHeight="1" x14ac:dyDescent="0.25">
      <c r="A47" s="50" t="s">
        <v>73</v>
      </c>
      <c r="B47" s="56">
        <v>0</v>
      </c>
      <c r="C47" s="56">
        <v>0</v>
      </c>
      <c r="D47" s="56">
        <v>6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2">
        <f t="shared" si="1"/>
        <v>6</v>
      </c>
      <c r="K47" s="54">
        <f>J47+J46</f>
        <v>14</v>
      </c>
      <c r="L47" s="55"/>
      <c r="M47" s="55"/>
    </row>
    <row r="48" spans="1:13" ht="14.25" customHeight="1" x14ac:dyDescent="0.25">
      <c r="A48" s="50" t="s">
        <v>74</v>
      </c>
      <c r="B48" s="56">
        <v>0</v>
      </c>
      <c r="C48" s="56">
        <v>0</v>
      </c>
      <c r="D48" s="56">
        <v>11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2">
        <f t="shared" si="1"/>
        <v>11</v>
      </c>
      <c r="K48" s="53"/>
      <c r="L48" s="54"/>
      <c r="M48" s="54"/>
    </row>
    <row r="49" spans="1:13" ht="14.25" customHeight="1" x14ac:dyDescent="0.25">
      <c r="A49" s="50" t="s">
        <v>75</v>
      </c>
      <c r="B49" s="56">
        <v>1</v>
      </c>
      <c r="C49" s="56">
        <v>0</v>
      </c>
      <c r="D49" s="56">
        <v>8</v>
      </c>
      <c r="E49" s="56">
        <v>0</v>
      </c>
      <c r="F49" s="56">
        <v>0</v>
      </c>
      <c r="G49" s="56">
        <v>0</v>
      </c>
      <c r="H49" s="56">
        <v>0</v>
      </c>
      <c r="I49" s="56">
        <v>0</v>
      </c>
      <c r="J49" s="52">
        <f t="shared" si="1"/>
        <v>8.3000000000000007</v>
      </c>
      <c r="K49" s="54">
        <f>J49+J48</f>
        <v>19.3</v>
      </c>
      <c r="L49" s="54">
        <f>SUM(J46:J49)</f>
        <v>33.299999999999997</v>
      </c>
      <c r="M49" s="54">
        <f>SUM(C46:I49)</f>
        <v>33</v>
      </c>
    </row>
    <row r="50" spans="1:13" ht="14.25" customHeight="1" x14ac:dyDescent="0.25">
      <c r="A50" s="50" t="s">
        <v>76</v>
      </c>
      <c r="B50" s="56">
        <v>0</v>
      </c>
      <c r="C50" s="56">
        <v>0</v>
      </c>
      <c r="D50" s="56">
        <v>10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2">
        <f t="shared" si="1"/>
        <v>10</v>
      </c>
      <c r="K50" s="53"/>
      <c r="L50" s="53"/>
      <c r="M50" s="53"/>
    </row>
    <row r="51" spans="1:13" ht="14.25" customHeight="1" x14ac:dyDescent="0.25">
      <c r="A51" s="50" t="s">
        <v>77</v>
      </c>
      <c r="B51" s="56">
        <v>0</v>
      </c>
      <c r="C51" s="56">
        <v>0</v>
      </c>
      <c r="D51" s="56">
        <v>15</v>
      </c>
      <c r="E51" s="56">
        <v>0</v>
      </c>
      <c r="F51" s="56">
        <v>0</v>
      </c>
      <c r="G51" s="56">
        <v>0</v>
      </c>
      <c r="H51" s="56">
        <v>0</v>
      </c>
      <c r="I51" s="56">
        <v>0</v>
      </c>
      <c r="J51" s="52">
        <f t="shared" si="1"/>
        <v>15</v>
      </c>
      <c r="K51" s="54">
        <f>J51+J50</f>
        <v>25</v>
      </c>
      <c r="L51" s="55"/>
      <c r="M51" s="55"/>
    </row>
    <row r="52" spans="1:13" ht="14.25" customHeight="1" x14ac:dyDescent="0.25">
      <c r="A52" s="50" t="s">
        <v>78</v>
      </c>
      <c r="B52" s="56">
        <v>1</v>
      </c>
      <c r="C52" s="56">
        <v>0</v>
      </c>
      <c r="D52" s="56">
        <v>16</v>
      </c>
      <c r="E52" s="56">
        <v>0</v>
      </c>
      <c r="F52" s="56">
        <v>0</v>
      </c>
      <c r="G52" s="56">
        <v>0</v>
      </c>
      <c r="H52" s="56">
        <v>0</v>
      </c>
      <c r="I52" s="56">
        <v>0</v>
      </c>
      <c r="J52" s="52">
        <f t="shared" si="1"/>
        <v>16.3</v>
      </c>
      <c r="K52" s="53"/>
      <c r="L52" s="54"/>
      <c r="M52" s="54"/>
    </row>
    <row r="53" spans="1:13" ht="14.25" customHeight="1" x14ac:dyDescent="0.25">
      <c r="A53" s="50" t="s">
        <v>79</v>
      </c>
      <c r="B53" s="56">
        <v>2</v>
      </c>
      <c r="C53" s="56">
        <v>0</v>
      </c>
      <c r="D53" s="56">
        <v>17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2">
        <f t="shared" si="1"/>
        <v>17.600000000000001</v>
      </c>
      <c r="K53" s="54">
        <f>J53+J52</f>
        <v>33.900000000000006</v>
      </c>
      <c r="L53" s="54">
        <f>SUM(J50:J53)</f>
        <v>58.9</v>
      </c>
      <c r="M53" s="54">
        <f>SUM(C50:I53)</f>
        <v>58</v>
      </c>
    </row>
    <row r="54" spans="1:13" ht="14.25" customHeight="1" x14ac:dyDescent="0.25">
      <c r="A54" s="50" t="s">
        <v>80</v>
      </c>
      <c r="B54" s="56">
        <v>2</v>
      </c>
      <c r="C54" s="56">
        <v>0</v>
      </c>
      <c r="D54" s="56">
        <v>21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2">
        <f t="shared" si="1"/>
        <v>21.6</v>
      </c>
      <c r="K54" s="53"/>
      <c r="L54" s="53"/>
      <c r="M54" s="53"/>
    </row>
    <row r="55" spans="1:13" ht="14.25" customHeight="1" x14ac:dyDescent="0.25">
      <c r="A55" s="50" t="s">
        <v>81</v>
      </c>
      <c r="B55" s="56">
        <v>1</v>
      </c>
      <c r="C55" s="56">
        <v>0</v>
      </c>
      <c r="D55" s="56">
        <v>19</v>
      </c>
      <c r="E55" s="56">
        <v>0</v>
      </c>
      <c r="F55" s="56">
        <v>0</v>
      </c>
      <c r="G55" s="56">
        <v>0</v>
      </c>
      <c r="H55" s="56">
        <v>0</v>
      </c>
      <c r="I55" s="56">
        <v>0</v>
      </c>
      <c r="J55" s="52">
        <f t="shared" si="1"/>
        <v>19.3</v>
      </c>
      <c r="K55" s="54">
        <f>J55+J54</f>
        <v>40.900000000000006</v>
      </c>
      <c r="L55" s="55"/>
      <c r="M55" s="55"/>
    </row>
    <row r="56" spans="1:13" ht="14.25" customHeight="1" x14ac:dyDescent="0.25">
      <c r="A56" s="50" t="s">
        <v>82</v>
      </c>
      <c r="B56" s="56">
        <v>3</v>
      </c>
      <c r="C56" s="56">
        <v>0</v>
      </c>
      <c r="D56" s="56">
        <v>20</v>
      </c>
      <c r="E56" s="56">
        <v>0</v>
      </c>
      <c r="F56" s="56">
        <v>0</v>
      </c>
      <c r="G56" s="56">
        <v>0</v>
      </c>
      <c r="H56" s="56">
        <v>0</v>
      </c>
      <c r="I56" s="56">
        <v>0</v>
      </c>
      <c r="J56" s="52">
        <f t="shared" si="1"/>
        <v>20.9</v>
      </c>
      <c r="K56" s="53"/>
      <c r="L56" s="54"/>
      <c r="M56" s="54"/>
    </row>
    <row r="57" spans="1:13" ht="14.25" customHeight="1" x14ac:dyDescent="0.25">
      <c r="A57" s="50" t="s">
        <v>83</v>
      </c>
      <c r="B57" s="56">
        <v>1</v>
      </c>
      <c r="C57" s="56">
        <v>0</v>
      </c>
      <c r="D57" s="56">
        <v>16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2">
        <f t="shared" si="1"/>
        <v>16.3</v>
      </c>
      <c r="K57" s="57">
        <f>J57+J56</f>
        <v>37.200000000000003</v>
      </c>
      <c r="L57" s="54">
        <f>SUM(J54:J57)</f>
        <v>78.100000000000009</v>
      </c>
      <c r="M57" s="54">
        <f>SUM(C54:I57)</f>
        <v>76</v>
      </c>
    </row>
    <row r="58" spans="1:13" ht="14.25" customHeight="1" x14ac:dyDescent="0.25">
      <c r="A58" s="50" t="s">
        <v>84</v>
      </c>
      <c r="B58" s="56">
        <v>1</v>
      </c>
      <c r="C58" s="56">
        <v>0</v>
      </c>
      <c r="D58" s="56">
        <v>16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2">
        <f t="shared" si="1"/>
        <v>16.3</v>
      </c>
      <c r="K58" s="53"/>
      <c r="L58" s="53"/>
      <c r="M58" s="53"/>
    </row>
    <row r="59" spans="1:13" ht="14.25" customHeight="1" x14ac:dyDescent="0.25">
      <c r="A59" s="50" t="s">
        <v>85</v>
      </c>
      <c r="B59" s="56">
        <v>0</v>
      </c>
      <c r="C59" s="56">
        <v>0</v>
      </c>
      <c r="D59" s="56">
        <v>22</v>
      </c>
      <c r="E59" s="56">
        <v>0</v>
      </c>
      <c r="F59" s="56">
        <v>0</v>
      </c>
      <c r="G59" s="56">
        <v>0</v>
      </c>
      <c r="H59" s="56">
        <v>0</v>
      </c>
      <c r="I59" s="56">
        <v>0</v>
      </c>
      <c r="J59" s="52">
        <f t="shared" si="1"/>
        <v>22</v>
      </c>
      <c r="K59" s="54">
        <f>J59+J58</f>
        <v>38.299999999999997</v>
      </c>
      <c r="L59" s="55"/>
      <c r="M59" s="55"/>
    </row>
    <row r="60" spans="1:13" ht="14.25" customHeight="1" x14ac:dyDescent="0.25">
      <c r="A60" s="50" t="s">
        <v>86</v>
      </c>
      <c r="B60" s="56">
        <v>2</v>
      </c>
      <c r="C60" s="56">
        <v>0</v>
      </c>
      <c r="D60" s="56">
        <v>18</v>
      </c>
      <c r="E60" s="56">
        <v>0</v>
      </c>
      <c r="F60" s="56">
        <v>0</v>
      </c>
      <c r="G60" s="56">
        <v>0</v>
      </c>
      <c r="H60" s="56">
        <v>0</v>
      </c>
      <c r="I60" s="56">
        <v>0</v>
      </c>
      <c r="J60" s="52">
        <f t="shared" si="1"/>
        <v>18.600000000000001</v>
      </c>
      <c r="K60" s="53"/>
      <c r="L60" s="54"/>
      <c r="M60" s="54"/>
    </row>
    <row r="61" spans="1:13" ht="14.25" customHeight="1" x14ac:dyDescent="0.25">
      <c r="A61" s="50" t="s">
        <v>87</v>
      </c>
      <c r="B61" s="56">
        <v>0</v>
      </c>
      <c r="C61" s="56">
        <v>0</v>
      </c>
      <c r="D61" s="56">
        <v>23</v>
      </c>
      <c r="E61" s="56">
        <v>0</v>
      </c>
      <c r="F61" s="56">
        <v>0</v>
      </c>
      <c r="G61" s="56">
        <v>0</v>
      </c>
      <c r="H61" s="56">
        <v>0</v>
      </c>
      <c r="I61" s="56">
        <v>0</v>
      </c>
      <c r="J61" s="52">
        <f t="shared" si="1"/>
        <v>23</v>
      </c>
      <c r="K61" s="54">
        <f>J61+J60</f>
        <v>41.6</v>
      </c>
      <c r="L61" s="54">
        <f>SUM(J58:J61)</f>
        <v>79.900000000000006</v>
      </c>
      <c r="M61" s="54">
        <f>SUM(C58:I61)</f>
        <v>79</v>
      </c>
    </row>
    <row r="62" spans="1:13" ht="14.25" customHeight="1" x14ac:dyDescent="0.25">
      <c r="A62" s="50" t="s">
        <v>88</v>
      </c>
      <c r="B62" s="56">
        <v>1</v>
      </c>
      <c r="C62" s="56">
        <v>0</v>
      </c>
      <c r="D62" s="56">
        <v>27</v>
      </c>
      <c r="E62" s="56">
        <v>0</v>
      </c>
      <c r="F62" s="56">
        <v>0</v>
      </c>
      <c r="G62" s="56">
        <v>0</v>
      </c>
      <c r="H62" s="56">
        <v>0</v>
      </c>
      <c r="I62" s="56">
        <v>0</v>
      </c>
      <c r="J62" s="52">
        <f t="shared" si="1"/>
        <v>27.3</v>
      </c>
      <c r="K62" s="53"/>
      <c r="L62" s="53"/>
      <c r="M62" s="53"/>
    </row>
    <row r="63" spans="1:13" ht="14.25" customHeight="1" x14ac:dyDescent="0.25">
      <c r="A63" s="50" t="s">
        <v>89</v>
      </c>
      <c r="B63" s="56">
        <v>1</v>
      </c>
      <c r="C63" s="56">
        <v>1</v>
      </c>
      <c r="D63" s="56">
        <v>20</v>
      </c>
      <c r="E63" s="56">
        <v>0</v>
      </c>
      <c r="F63" s="56">
        <v>0</v>
      </c>
      <c r="G63" s="56">
        <v>0</v>
      </c>
      <c r="H63" s="56">
        <v>0</v>
      </c>
      <c r="I63" s="56">
        <v>0</v>
      </c>
      <c r="J63" s="52">
        <f t="shared" si="1"/>
        <v>20.8</v>
      </c>
      <c r="K63" s="54">
        <f>J63+J62</f>
        <v>48.1</v>
      </c>
      <c r="L63" s="55"/>
      <c r="M63" s="55"/>
    </row>
    <row r="64" spans="1:13" ht="14.25" customHeight="1" x14ac:dyDescent="0.25">
      <c r="A64" s="50" t="s">
        <v>90</v>
      </c>
      <c r="B64" s="56">
        <v>1</v>
      </c>
      <c r="C64" s="56">
        <v>2</v>
      </c>
      <c r="D64" s="56">
        <v>17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2">
        <f t="shared" si="1"/>
        <v>18.3</v>
      </c>
      <c r="K64" s="53"/>
      <c r="L64" s="54"/>
      <c r="M64" s="54"/>
    </row>
    <row r="65" spans="1:13" ht="14.25" customHeight="1" x14ac:dyDescent="0.25">
      <c r="A65" s="50" t="s">
        <v>91</v>
      </c>
      <c r="B65" s="56">
        <v>1</v>
      </c>
      <c r="C65" s="56">
        <v>0</v>
      </c>
      <c r="D65" s="56">
        <v>15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2">
        <f t="shared" si="1"/>
        <v>15.3</v>
      </c>
      <c r="K65" s="54">
        <f>J65+J64</f>
        <v>33.6</v>
      </c>
      <c r="L65" s="54">
        <f>SUM(J62:J65)</f>
        <v>81.7</v>
      </c>
      <c r="M65" s="54">
        <f>SUM(C62:I65)</f>
        <v>82</v>
      </c>
    </row>
    <row r="66" spans="1:13" ht="14.25" customHeight="1" x14ac:dyDescent="0.25">
      <c r="A66" s="50" t="s">
        <v>92</v>
      </c>
      <c r="B66" s="56">
        <v>0</v>
      </c>
      <c r="C66" s="56">
        <v>0</v>
      </c>
      <c r="D66" s="56">
        <v>16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2">
        <f t="shared" si="1"/>
        <v>16</v>
      </c>
      <c r="K66" s="53"/>
      <c r="L66" s="53"/>
      <c r="M66" s="53"/>
    </row>
    <row r="67" spans="1:13" ht="14.25" customHeight="1" x14ac:dyDescent="0.25">
      <c r="A67" s="50" t="s">
        <v>93</v>
      </c>
      <c r="B67" s="56">
        <v>0</v>
      </c>
      <c r="C67" s="56">
        <v>1</v>
      </c>
      <c r="D67" s="56">
        <v>14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2">
        <f t="shared" si="1"/>
        <v>14.5</v>
      </c>
      <c r="K67" s="54">
        <f>J67+J66</f>
        <v>30.5</v>
      </c>
      <c r="L67" s="55"/>
      <c r="M67" s="55"/>
    </row>
    <row r="68" spans="1:13" ht="14.25" customHeight="1" x14ac:dyDescent="0.25">
      <c r="A68" s="50" t="s">
        <v>94</v>
      </c>
      <c r="B68" s="56">
        <v>2</v>
      </c>
      <c r="C68" s="56">
        <v>0</v>
      </c>
      <c r="D68" s="56">
        <v>10</v>
      </c>
      <c r="E68" s="56">
        <v>0</v>
      </c>
      <c r="F68" s="56">
        <v>0</v>
      </c>
      <c r="G68" s="56">
        <v>0</v>
      </c>
      <c r="H68" s="56">
        <v>0</v>
      </c>
      <c r="I68" s="56">
        <v>0</v>
      </c>
      <c r="J68" s="52">
        <f t="shared" si="1"/>
        <v>10.6</v>
      </c>
      <c r="K68" s="53"/>
      <c r="L68" s="54"/>
      <c r="M68" s="54"/>
    </row>
    <row r="69" spans="1:13" ht="14.25" customHeight="1" x14ac:dyDescent="0.25">
      <c r="A69" s="50" t="s">
        <v>95</v>
      </c>
      <c r="B69" s="56">
        <v>0</v>
      </c>
      <c r="C69" s="56">
        <v>0</v>
      </c>
      <c r="D69" s="56">
        <v>14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2">
        <f t="shared" si="1"/>
        <v>14</v>
      </c>
      <c r="K69" s="54">
        <f>J69+J68</f>
        <v>24.6</v>
      </c>
      <c r="L69" s="54">
        <f>SUM(J66:J69)</f>
        <v>55.1</v>
      </c>
      <c r="M69" s="54">
        <f>SUM(C66:I69)</f>
        <v>55</v>
      </c>
    </row>
    <row r="70" spans="1:13" ht="14.25" customHeight="1" x14ac:dyDescent="0.25">
      <c r="A70" s="50" t="s">
        <v>96</v>
      </c>
      <c r="B70" s="51"/>
      <c r="C70" s="51"/>
      <c r="D70" s="51"/>
      <c r="E70" s="51"/>
      <c r="F70" s="51"/>
      <c r="G70" s="51"/>
      <c r="H70" s="51"/>
      <c r="I70" s="51"/>
      <c r="J70" s="52">
        <f t="shared" si="1"/>
        <v>0</v>
      </c>
      <c r="K70" s="53"/>
      <c r="L70" s="53"/>
      <c r="M70" s="53"/>
    </row>
    <row r="71" spans="1:13" ht="14.25" customHeight="1" x14ac:dyDescent="0.25">
      <c r="A71" s="50" t="s">
        <v>97</v>
      </c>
      <c r="B71" s="51"/>
      <c r="C71" s="51"/>
      <c r="D71" s="51"/>
      <c r="E71" s="51"/>
      <c r="F71" s="51"/>
      <c r="G71" s="51"/>
      <c r="H71" s="51"/>
      <c r="I71" s="51"/>
      <c r="J71" s="52">
        <f t="shared" si="1"/>
        <v>0</v>
      </c>
      <c r="K71" s="54">
        <f>J71+J70</f>
        <v>0</v>
      </c>
      <c r="L71" s="55"/>
      <c r="M71" s="55"/>
    </row>
    <row r="72" spans="1:13" ht="14.25" customHeight="1" x14ac:dyDescent="0.25">
      <c r="A72" s="50" t="s">
        <v>98</v>
      </c>
      <c r="B72" s="51"/>
      <c r="C72" s="51"/>
      <c r="D72" s="51"/>
      <c r="E72" s="51"/>
      <c r="F72" s="51"/>
      <c r="G72" s="51"/>
      <c r="H72" s="51"/>
      <c r="I72" s="51"/>
      <c r="J72" s="52">
        <f t="shared" si="1"/>
        <v>0</v>
      </c>
      <c r="K72" s="53"/>
      <c r="L72" s="54"/>
      <c r="M72" s="54"/>
    </row>
    <row r="73" spans="1:13" ht="14.25" customHeight="1" x14ac:dyDescent="0.25">
      <c r="A73" s="58" t="s">
        <v>99</v>
      </c>
      <c r="B73" s="51"/>
      <c r="C73" s="51"/>
      <c r="D73" s="51"/>
      <c r="E73" s="51"/>
      <c r="F73" s="51"/>
      <c r="G73" s="51"/>
      <c r="H73" s="51"/>
      <c r="I73" s="51"/>
      <c r="J73" s="52">
        <f t="shared" si="1"/>
        <v>0</v>
      </c>
      <c r="K73" s="54">
        <f>J73+J72</f>
        <v>0</v>
      </c>
      <c r="L73" s="54">
        <f>SUM(J70:J73)</f>
        <v>0</v>
      </c>
      <c r="M73" s="54">
        <f>SUM(C70:I73)</f>
        <v>0</v>
      </c>
    </row>
    <row r="74" spans="1:13" ht="14.25" customHeight="1" x14ac:dyDescent="0.25">
      <c r="A74" s="59" t="s">
        <v>100</v>
      </c>
      <c r="B74" s="51"/>
      <c r="C74" s="51"/>
      <c r="D74" s="51"/>
      <c r="E74" s="51"/>
      <c r="F74" s="51"/>
      <c r="G74" s="51"/>
      <c r="H74" s="51"/>
      <c r="I74" s="51"/>
      <c r="J74" s="52">
        <f t="shared" si="1"/>
        <v>0</v>
      </c>
      <c r="K74" s="53"/>
      <c r="L74" s="53"/>
      <c r="M74" s="53"/>
    </row>
    <row r="75" spans="1:13" ht="14.25" customHeight="1" x14ac:dyDescent="0.25">
      <c r="A75" s="59" t="s">
        <v>101</v>
      </c>
      <c r="B75" s="51"/>
      <c r="C75" s="51"/>
      <c r="D75" s="51"/>
      <c r="E75" s="51"/>
      <c r="F75" s="51"/>
      <c r="G75" s="51"/>
      <c r="H75" s="51"/>
      <c r="I75" s="51"/>
      <c r="J75" s="52">
        <f t="shared" si="1"/>
        <v>0</v>
      </c>
      <c r="K75" s="54">
        <f>J75+J74</f>
        <v>0</v>
      </c>
      <c r="L75" s="55"/>
      <c r="M75" s="55"/>
    </row>
    <row r="76" spans="1:13" ht="14.25" customHeight="1" x14ac:dyDescent="0.25">
      <c r="A76" s="59" t="s">
        <v>102</v>
      </c>
      <c r="B76" s="51"/>
      <c r="C76" s="51"/>
      <c r="D76" s="51"/>
      <c r="E76" s="51"/>
      <c r="F76" s="51"/>
      <c r="G76" s="51"/>
      <c r="H76" s="51"/>
      <c r="I76" s="51"/>
      <c r="J76" s="52">
        <f t="shared" si="1"/>
        <v>0</v>
      </c>
      <c r="K76" s="53"/>
      <c r="L76" s="54"/>
      <c r="M76" s="54"/>
    </row>
    <row r="77" spans="1:13" ht="14.25" customHeight="1" x14ac:dyDescent="0.25">
      <c r="A77" s="59" t="s">
        <v>103</v>
      </c>
      <c r="B77" s="51"/>
      <c r="C77" s="51"/>
      <c r="D77" s="51"/>
      <c r="E77" s="51"/>
      <c r="F77" s="51"/>
      <c r="G77" s="51"/>
      <c r="H77" s="51"/>
      <c r="I77" s="51"/>
      <c r="J77" s="52">
        <f t="shared" si="1"/>
        <v>0</v>
      </c>
      <c r="K77" s="54">
        <f>J77+J76</f>
        <v>0</v>
      </c>
      <c r="L77" s="54">
        <f>SUM(J74:J77)</f>
        <v>0</v>
      </c>
      <c r="M77" s="54">
        <f>SUM(C74:I77)</f>
        <v>0</v>
      </c>
    </row>
    <row r="78" spans="1:13" ht="14.25" customHeight="1" x14ac:dyDescent="0.25">
      <c r="A78" s="59" t="s">
        <v>104</v>
      </c>
      <c r="B78" s="51"/>
      <c r="C78" s="51"/>
      <c r="D78" s="51"/>
      <c r="E78" s="51"/>
      <c r="F78" s="51"/>
      <c r="G78" s="51"/>
      <c r="H78" s="51"/>
      <c r="I78" s="51"/>
      <c r="J78" s="52">
        <f t="shared" ref="J78:J109" si="2">SUMPRODUCT(B78:I78,$B$11:$I$11)</f>
        <v>0</v>
      </c>
      <c r="K78" s="53"/>
      <c r="L78" s="53"/>
      <c r="M78" s="53"/>
    </row>
    <row r="79" spans="1:13" ht="14.25" customHeight="1" x14ac:dyDescent="0.25">
      <c r="A79" s="59" t="s">
        <v>105</v>
      </c>
      <c r="B79" s="51"/>
      <c r="C79" s="51"/>
      <c r="D79" s="51"/>
      <c r="E79" s="51"/>
      <c r="F79" s="51"/>
      <c r="G79" s="51"/>
      <c r="H79" s="51"/>
      <c r="I79" s="51"/>
      <c r="J79" s="52">
        <f t="shared" si="2"/>
        <v>0</v>
      </c>
      <c r="K79" s="54">
        <f>J79+J78</f>
        <v>0</v>
      </c>
      <c r="L79" s="55"/>
      <c r="M79" s="55"/>
    </row>
    <row r="80" spans="1:13" ht="14.25" customHeight="1" x14ac:dyDescent="0.25">
      <c r="A80" s="59" t="s">
        <v>106</v>
      </c>
      <c r="B80" s="51"/>
      <c r="C80" s="51"/>
      <c r="D80" s="51"/>
      <c r="E80" s="51"/>
      <c r="F80" s="51"/>
      <c r="G80" s="51"/>
      <c r="H80" s="51"/>
      <c r="I80" s="51"/>
      <c r="J80" s="52">
        <f t="shared" si="2"/>
        <v>0</v>
      </c>
      <c r="K80" s="53"/>
      <c r="L80" s="54"/>
      <c r="M80" s="54"/>
    </row>
    <row r="81" spans="1:13" ht="14.25" customHeight="1" x14ac:dyDescent="0.25">
      <c r="A81" s="59" t="s">
        <v>107</v>
      </c>
      <c r="B81" s="51"/>
      <c r="C81" s="51"/>
      <c r="D81" s="51"/>
      <c r="E81" s="51"/>
      <c r="F81" s="51"/>
      <c r="G81" s="51"/>
      <c r="H81" s="51"/>
      <c r="I81" s="51"/>
      <c r="J81" s="52">
        <f t="shared" si="2"/>
        <v>0</v>
      </c>
      <c r="K81" s="54">
        <f>J81+J80</f>
        <v>0</v>
      </c>
      <c r="L81" s="54">
        <f>SUM(J78:J81)</f>
        <v>0</v>
      </c>
      <c r="M81" s="54">
        <f>SUM(C78:I81)</f>
        <v>0</v>
      </c>
    </row>
    <row r="82" spans="1:13" ht="14.25" customHeight="1" x14ac:dyDescent="0.45">
      <c r="A82" s="60" t="s">
        <v>108</v>
      </c>
      <c r="B82" s="61">
        <f>SUM(B$14:B81)</f>
        <v>31</v>
      </c>
      <c r="C82" s="61">
        <f>SUM(C$14:C81)</f>
        <v>4</v>
      </c>
      <c r="D82" s="61">
        <f>SUM(D$14:D81)</f>
        <v>689</v>
      </c>
      <c r="E82" s="61">
        <f>SUM(E$14:E81)</f>
        <v>1</v>
      </c>
      <c r="F82" s="61">
        <f>SUM(F$14:F81)</f>
        <v>0</v>
      </c>
      <c r="G82" s="61">
        <f>SUM(G$14:G81)</f>
        <v>1</v>
      </c>
      <c r="H82" s="61">
        <f>SUM(H$14:H81)</f>
        <v>0</v>
      </c>
      <c r="I82" s="61">
        <f>SUM(I$14:I81)</f>
        <v>0</v>
      </c>
      <c r="J82" s="61">
        <f>SUM(B82:I82)</f>
        <v>726</v>
      </c>
      <c r="K82" s="62"/>
      <c r="L82" s="63"/>
      <c r="M82" s="63"/>
    </row>
    <row r="83" spans="1:13" ht="14.25" customHeight="1" x14ac:dyDescent="0.25"/>
    <row r="84" spans="1:13" ht="14.25" customHeight="1" x14ac:dyDescent="0.25"/>
    <row r="85" spans="1:13" ht="14.25" customHeight="1" x14ac:dyDescent="0.25"/>
    <row r="86" spans="1:13" ht="14.25" customHeight="1" x14ac:dyDescent="0.25"/>
    <row r="87" spans="1:13" ht="14.25" customHeight="1" x14ac:dyDescent="0.25"/>
    <row r="88" spans="1:13" ht="14.25" customHeight="1" x14ac:dyDescent="0.25"/>
    <row r="89" spans="1:13" ht="14.25" customHeight="1" x14ac:dyDescent="0.25"/>
    <row r="90" spans="1:13" ht="14.25" customHeight="1" x14ac:dyDescent="0.25"/>
    <row r="91" spans="1:13" ht="14.25" customHeight="1" x14ac:dyDescent="0.25"/>
    <row r="92" spans="1:13" ht="14.25" customHeight="1" x14ac:dyDescent="0.25"/>
    <row r="93" spans="1:13" ht="14.25" customHeight="1" x14ac:dyDescent="0.25"/>
    <row r="94" spans="1:13" ht="14.25" customHeight="1" x14ac:dyDescent="0.25"/>
    <row r="95" spans="1:13" ht="14.25" customHeight="1" x14ac:dyDescent="0.25"/>
    <row r="96" spans="1:1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</sheetData>
  <mergeCells count="2">
    <mergeCell ref="A3:M3"/>
    <mergeCell ref="A4:M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975"/>
  <sheetViews>
    <sheetView zoomScale="85" zoomScaleNormal="85" workbookViewId="0"/>
  </sheetViews>
  <sheetFormatPr defaultColWidth="15.90625" defaultRowHeight="12.75" customHeight="1" x14ac:dyDescent="0.25"/>
  <cols>
    <col min="1" max="1" width="14.453125" customWidth="1"/>
    <col min="2" max="9" width="6.90625" customWidth="1"/>
    <col min="10" max="13" width="7.453125" customWidth="1"/>
    <col min="16377" max="16384" width="11.54296875" customWidth="1"/>
  </cols>
  <sheetData>
    <row r="1" spans="1:13" ht="14.2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8.75" customHeight="1" x14ac:dyDescent="0.4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35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4.25" customHeight="1" x14ac:dyDescent="0.3">
      <c r="A5" s="24" t="s">
        <v>6</v>
      </c>
      <c r="B5" s="25"/>
      <c r="C5" s="26"/>
      <c r="D5" s="27"/>
      <c r="E5" s="27"/>
      <c r="F5" s="25"/>
      <c r="G5" s="25"/>
      <c r="H5" s="28"/>
      <c r="I5" s="26"/>
      <c r="J5" s="27" t="s">
        <v>3</v>
      </c>
      <c r="K5" s="25">
        <v>0</v>
      </c>
      <c r="L5" s="29"/>
      <c r="M5" s="30"/>
    </row>
    <row r="6" spans="1:13" ht="14.25" customHeight="1" x14ac:dyDescent="0.3">
      <c r="A6" s="31">
        <f>Deckbl.!I11</f>
        <v>45944</v>
      </c>
      <c r="B6" s="9"/>
      <c r="C6" s="8"/>
      <c r="D6" s="8"/>
      <c r="E6" s="9"/>
      <c r="F6" s="9"/>
      <c r="G6" s="9"/>
      <c r="H6" s="9"/>
      <c r="I6" s="8"/>
      <c r="J6" s="12" t="s">
        <v>9</v>
      </c>
      <c r="K6" s="32" t="str">
        <f>Deckbl.!I12</f>
        <v>9-14 ° sonnig</v>
      </c>
      <c r="L6" s="33"/>
      <c r="M6" s="34"/>
    </row>
    <row r="7" spans="1:13" ht="14.25" customHeight="1" x14ac:dyDescent="0.3">
      <c r="A7" s="35"/>
      <c r="B7" s="12" t="s">
        <v>14</v>
      </c>
      <c r="C7" s="36" t="str">
        <f>Deckbl.!C8</f>
        <v>B122 / Badhaller Straße / Holznerweg (Bad Hall)</v>
      </c>
      <c r="D7" s="33"/>
      <c r="E7" s="37"/>
      <c r="F7" s="37"/>
      <c r="G7" s="37"/>
      <c r="H7" s="37"/>
      <c r="I7" s="38"/>
      <c r="J7" s="36"/>
      <c r="K7" s="37"/>
      <c r="L7" s="37"/>
      <c r="M7" s="39"/>
    </row>
    <row r="8" spans="1:13" ht="14.25" customHeight="1" x14ac:dyDescent="0.3">
      <c r="A8" s="35"/>
      <c r="B8" s="12" t="s">
        <v>15</v>
      </c>
      <c r="C8" s="33"/>
      <c r="D8" s="33"/>
      <c r="E8" s="37"/>
      <c r="F8" s="37"/>
      <c r="G8" s="37"/>
      <c r="H8" s="37"/>
      <c r="I8" s="38" t="s">
        <v>7</v>
      </c>
      <c r="J8" s="36" t="s">
        <v>16</v>
      </c>
      <c r="K8" s="40"/>
      <c r="L8" s="37"/>
      <c r="M8" s="39"/>
    </row>
    <row r="9" spans="1:13" ht="14.25" customHeight="1" x14ac:dyDescent="0.3">
      <c r="A9" s="35"/>
      <c r="B9" s="12" t="s">
        <v>17</v>
      </c>
      <c r="C9" s="41" t="s">
        <v>113</v>
      </c>
      <c r="D9" s="8"/>
      <c r="E9" s="9"/>
      <c r="F9" s="9"/>
      <c r="G9" s="9"/>
      <c r="H9" s="9"/>
      <c r="I9" s="12" t="s">
        <v>19</v>
      </c>
      <c r="J9" s="36" t="str">
        <f>Deckbl.!C11</f>
        <v>7-19 Uhr</v>
      </c>
      <c r="K9" s="37"/>
      <c r="L9" s="37"/>
      <c r="M9" s="39"/>
    </row>
    <row r="10" spans="1:13" ht="14.25" customHeight="1" x14ac:dyDescent="0.3">
      <c r="A10" s="35"/>
      <c r="B10" s="38" t="s">
        <v>20</v>
      </c>
      <c r="C10" s="42"/>
      <c r="D10" s="33"/>
      <c r="E10" s="37"/>
      <c r="F10" s="37"/>
      <c r="G10" s="37"/>
      <c r="H10" s="37"/>
      <c r="I10" s="38"/>
      <c r="J10" s="36"/>
      <c r="K10" s="37"/>
      <c r="L10" s="36"/>
      <c r="M10" s="39"/>
    </row>
    <row r="11" spans="1:13" ht="14.25" customHeight="1" x14ac:dyDescent="0.25">
      <c r="A11" s="43" t="s">
        <v>21</v>
      </c>
      <c r="B11" s="44">
        <v>0.3</v>
      </c>
      <c r="C11" s="44">
        <v>0.5</v>
      </c>
      <c r="D11" s="44">
        <v>1</v>
      </c>
      <c r="E11" s="44">
        <v>2</v>
      </c>
      <c r="F11" s="44">
        <v>2</v>
      </c>
      <c r="G11" s="44">
        <v>2</v>
      </c>
      <c r="H11" s="44">
        <v>3</v>
      </c>
      <c r="I11" s="44">
        <v>2</v>
      </c>
      <c r="J11" s="45"/>
      <c r="K11" s="45"/>
      <c r="L11" s="45"/>
      <c r="M11" s="45"/>
    </row>
    <row r="12" spans="1:13" ht="14.25" customHeight="1" x14ac:dyDescent="0.25">
      <c r="A12" s="46"/>
      <c r="B12" s="24"/>
      <c r="C12" s="47" t="s">
        <v>22</v>
      </c>
      <c r="D12" s="24" t="s">
        <v>23</v>
      </c>
      <c r="E12" s="47" t="s">
        <v>24</v>
      </c>
      <c r="F12" s="47" t="s">
        <v>25</v>
      </c>
      <c r="G12" s="24" t="s">
        <v>26</v>
      </c>
      <c r="H12" s="47" t="s">
        <v>27</v>
      </c>
      <c r="I12" s="47" t="s">
        <v>28</v>
      </c>
      <c r="J12" s="48" t="s">
        <v>29</v>
      </c>
      <c r="K12" s="48" t="s">
        <v>29</v>
      </c>
      <c r="L12" s="48" t="s">
        <v>29</v>
      </c>
      <c r="M12" s="48" t="s">
        <v>30</v>
      </c>
    </row>
    <row r="13" spans="1:13" ht="14.25" customHeight="1" x14ac:dyDescent="0.25">
      <c r="A13" s="49" t="s">
        <v>31</v>
      </c>
      <c r="B13" s="47" t="s">
        <v>32</v>
      </c>
      <c r="C13" s="47" t="s">
        <v>30</v>
      </c>
      <c r="D13" s="47" t="s">
        <v>33</v>
      </c>
      <c r="E13" s="47" t="s">
        <v>34</v>
      </c>
      <c r="F13" s="47" t="s">
        <v>34</v>
      </c>
      <c r="G13" s="47"/>
      <c r="H13" s="47" t="s">
        <v>35</v>
      </c>
      <c r="I13" s="47" t="s">
        <v>36</v>
      </c>
      <c r="J13" s="48" t="s">
        <v>37</v>
      </c>
      <c r="K13" s="48" t="s">
        <v>38</v>
      </c>
      <c r="L13" s="48" t="s">
        <v>39</v>
      </c>
      <c r="M13" s="48" t="s">
        <v>39</v>
      </c>
    </row>
    <row r="14" spans="1:13" ht="14.25" customHeight="1" x14ac:dyDescent="0.25">
      <c r="A14" s="50" t="s">
        <v>40</v>
      </c>
      <c r="B14" s="51"/>
      <c r="C14" s="51"/>
      <c r="D14" s="51"/>
      <c r="E14" s="51"/>
      <c r="F14" s="51"/>
      <c r="G14" s="51"/>
      <c r="H14" s="51"/>
      <c r="I14" s="51"/>
      <c r="J14" s="52">
        <f t="shared" ref="J14:J45" si="0">SUMPRODUCT(B14:I14,$B$11:$I$11)</f>
        <v>0</v>
      </c>
      <c r="K14" s="53"/>
      <c r="L14" s="53"/>
      <c r="M14" s="53"/>
    </row>
    <row r="15" spans="1:13" ht="14.25" customHeight="1" x14ac:dyDescent="0.25">
      <c r="A15" s="50" t="s">
        <v>41</v>
      </c>
      <c r="B15" s="51"/>
      <c r="C15" s="51"/>
      <c r="D15" s="51"/>
      <c r="E15" s="51"/>
      <c r="F15" s="51"/>
      <c r="G15" s="51"/>
      <c r="H15" s="51"/>
      <c r="I15" s="51"/>
      <c r="J15" s="52">
        <f t="shared" si="0"/>
        <v>0</v>
      </c>
      <c r="K15" s="54">
        <f>J15+J14</f>
        <v>0</v>
      </c>
      <c r="L15" s="55"/>
      <c r="M15" s="55"/>
    </row>
    <row r="16" spans="1:13" ht="14.25" customHeight="1" x14ac:dyDescent="0.25">
      <c r="A16" s="50" t="s">
        <v>42</v>
      </c>
      <c r="B16" s="51"/>
      <c r="C16" s="51"/>
      <c r="D16" s="51"/>
      <c r="E16" s="51"/>
      <c r="F16" s="51"/>
      <c r="G16" s="51"/>
      <c r="H16" s="51"/>
      <c r="I16" s="51"/>
      <c r="J16" s="52">
        <f t="shared" si="0"/>
        <v>0</v>
      </c>
      <c r="K16" s="53"/>
      <c r="L16" s="54"/>
      <c r="M16" s="54"/>
    </row>
    <row r="17" spans="1:13" ht="14.25" customHeight="1" x14ac:dyDescent="0.25">
      <c r="A17" s="50" t="s">
        <v>43</v>
      </c>
      <c r="B17" s="51"/>
      <c r="C17" s="51"/>
      <c r="D17" s="51"/>
      <c r="E17" s="51"/>
      <c r="F17" s="51"/>
      <c r="G17" s="51"/>
      <c r="H17" s="51"/>
      <c r="I17" s="51"/>
      <c r="J17" s="52">
        <f t="shared" si="0"/>
        <v>0</v>
      </c>
      <c r="K17" s="54">
        <f>J17+J16</f>
        <v>0</v>
      </c>
      <c r="L17" s="54">
        <f>SUM(J14:J17)</f>
        <v>0</v>
      </c>
      <c r="M17" s="54">
        <f>SUM(C14:I17)</f>
        <v>0</v>
      </c>
    </row>
    <row r="18" spans="1:13" ht="14.25" customHeight="1" x14ac:dyDescent="0.25">
      <c r="A18" s="50" t="s">
        <v>44</v>
      </c>
      <c r="B18" s="51"/>
      <c r="C18" s="51"/>
      <c r="D18" s="51"/>
      <c r="E18" s="51"/>
      <c r="F18" s="51"/>
      <c r="G18" s="51"/>
      <c r="H18" s="51"/>
      <c r="I18" s="51"/>
      <c r="J18" s="52">
        <f t="shared" si="0"/>
        <v>0</v>
      </c>
      <c r="K18" s="53"/>
      <c r="L18" s="53"/>
      <c r="M18" s="53"/>
    </row>
    <row r="19" spans="1:13" ht="14.25" customHeight="1" x14ac:dyDescent="0.25">
      <c r="A19" s="50" t="s">
        <v>45</v>
      </c>
      <c r="B19" s="51"/>
      <c r="C19" s="51"/>
      <c r="D19" s="51"/>
      <c r="E19" s="51"/>
      <c r="F19" s="51"/>
      <c r="G19" s="51"/>
      <c r="H19" s="51"/>
      <c r="I19" s="51"/>
      <c r="J19" s="52">
        <f t="shared" si="0"/>
        <v>0</v>
      </c>
      <c r="K19" s="54">
        <f>J19+J18</f>
        <v>0</v>
      </c>
      <c r="L19" s="55"/>
      <c r="M19" s="55"/>
    </row>
    <row r="20" spans="1:13" ht="14.25" customHeight="1" x14ac:dyDescent="0.25">
      <c r="A20" s="50" t="s">
        <v>46</v>
      </c>
      <c r="B20" s="51"/>
      <c r="C20" s="51"/>
      <c r="D20" s="51"/>
      <c r="E20" s="51"/>
      <c r="F20" s="51"/>
      <c r="G20" s="51"/>
      <c r="H20" s="51"/>
      <c r="I20" s="51"/>
      <c r="J20" s="52">
        <f t="shared" si="0"/>
        <v>0</v>
      </c>
      <c r="K20" s="53"/>
      <c r="L20" s="54"/>
      <c r="M20" s="54"/>
    </row>
    <row r="21" spans="1:13" ht="14.25" customHeight="1" x14ac:dyDescent="0.25">
      <c r="A21" s="50" t="s">
        <v>47</v>
      </c>
      <c r="B21" s="51"/>
      <c r="C21" s="51"/>
      <c r="D21" s="51"/>
      <c r="E21" s="51"/>
      <c r="F21" s="51"/>
      <c r="G21" s="51"/>
      <c r="H21" s="51"/>
      <c r="I21" s="51"/>
      <c r="J21" s="52">
        <f t="shared" si="0"/>
        <v>0</v>
      </c>
      <c r="K21" s="54">
        <f>J21+J20</f>
        <v>0</v>
      </c>
      <c r="L21" s="54">
        <f>SUM(J18:J21)</f>
        <v>0</v>
      </c>
      <c r="M21" s="54">
        <f>SUM(C18:I21)</f>
        <v>0</v>
      </c>
    </row>
    <row r="22" spans="1:13" ht="14.25" customHeight="1" x14ac:dyDescent="0.25">
      <c r="A22" s="50" t="s">
        <v>48</v>
      </c>
      <c r="B22" s="56">
        <v>0</v>
      </c>
      <c r="C22" s="56">
        <v>0</v>
      </c>
      <c r="D22" s="56">
        <v>15</v>
      </c>
      <c r="E22" s="56">
        <v>0</v>
      </c>
      <c r="F22" s="56">
        <v>0</v>
      </c>
      <c r="G22" s="56">
        <v>0</v>
      </c>
      <c r="H22" s="56">
        <v>0</v>
      </c>
      <c r="I22" s="56">
        <v>0</v>
      </c>
      <c r="J22" s="52">
        <f t="shared" si="0"/>
        <v>15</v>
      </c>
      <c r="K22" s="53"/>
      <c r="L22" s="53"/>
      <c r="M22" s="53"/>
    </row>
    <row r="23" spans="1:13" ht="14.25" customHeight="1" x14ac:dyDescent="0.25">
      <c r="A23" s="50" t="s">
        <v>49</v>
      </c>
      <c r="B23" s="56">
        <v>0</v>
      </c>
      <c r="C23" s="56">
        <v>0</v>
      </c>
      <c r="D23" s="56">
        <v>16</v>
      </c>
      <c r="E23" s="56">
        <v>0</v>
      </c>
      <c r="F23" s="56">
        <v>0</v>
      </c>
      <c r="G23" s="56">
        <v>1</v>
      </c>
      <c r="H23" s="56">
        <v>1</v>
      </c>
      <c r="I23" s="56">
        <v>0</v>
      </c>
      <c r="J23" s="52">
        <f t="shared" si="0"/>
        <v>21</v>
      </c>
      <c r="K23" s="54">
        <f>J23+J22</f>
        <v>36</v>
      </c>
      <c r="L23" s="55"/>
      <c r="M23" s="55"/>
    </row>
    <row r="24" spans="1:13" ht="14.25" customHeight="1" x14ac:dyDescent="0.25">
      <c r="A24" s="50" t="s">
        <v>50</v>
      </c>
      <c r="B24" s="56">
        <v>0</v>
      </c>
      <c r="C24" s="56">
        <v>0</v>
      </c>
      <c r="D24" s="56">
        <v>17</v>
      </c>
      <c r="E24" s="56">
        <v>0</v>
      </c>
      <c r="F24" s="56">
        <v>0</v>
      </c>
      <c r="G24" s="56">
        <v>0</v>
      </c>
      <c r="H24" s="56">
        <v>0</v>
      </c>
      <c r="I24" s="56">
        <v>0</v>
      </c>
      <c r="J24" s="52">
        <f t="shared" si="0"/>
        <v>17</v>
      </c>
      <c r="K24" s="53"/>
      <c r="L24" s="54"/>
      <c r="M24" s="54"/>
    </row>
    <row r="25" spans="1:13" ht="14.25" customHeight="1" x14ac:dyDescent="0.25">
      <c r="A25" s="50" t="s">
        <v>51</v>
      </c>
      <c r="B25" s="56">
        <v>0</v>
      </c>
      <c r="C25" s="56">
        <v>1</v>
      </c>
      <c r="D25" s="56">
        <v>12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2">
        <f t="shared" si="0"/>
        <v>12.5</v>
      </c>
      <c r="K25" s="54">
        <f>J25+J24</f>
        <v>29.5</v>
      </c>
      <c r="L25" s="54">
        <f>SUM(J22:J25)</f>
        <v>65.5</v>
      </c>
      <c r="M25" s="54">
        <f>SUM(C22:I25)</f>
        <v>63</v>
      </c>
    </row>
    <row r="26" spans="1:13" ht="14.25" customHeight="1" x14ac:dyDescent="0.25">
      <c r="A26" s="50" t="s">
        <v>52</v>
      </c>
      <c r="B26" s="56">
        <v>0</v>
      </c>
      <c r="C26" s="56">
        <v>0</v>
      </c>
      <c r="D26" s="56">
        <v>12</v>
      </c>
      <c r="E26" s="56">
        <v>0</v>
      </c>
      <c r="F26" s="56">
        <v>0</v>
      </c>
      <c r="G26" s="56">
        <v>0</v>
      </c>
      <c r="H26" s="56">
        <v>0</v>
      </c>
      <c r="I26" s="56">
        <v>0</v>
      </c>
      <c r="J26" s="52">
        <f t="shared" si="0"/>
        <v>12</v>
      </c>
      <c r="K26" s="53"/>
      <c r="L26" s="53"/>
      <c r="M26" s="53"/>
    </row>
    <row r="27" spans="1:13" ht="14.25" customHeight="1" x14ac:dyDescent="0.25">
      <c r="A27" s="50" t="s">
        <v>53</v>
      </c>
      <c r="B27" s="56">
        <v>0</v>
      </c>
      <c r="C27" s="56">
        <v>0</v>
      </c>
      <c r="D27" s="56">
        <v>16</v>
      </c>
      <c r="E27" s="56">
        <v>1</v>
      </c>
      <c r="F27" s="56">
        <v>0</v>
      </c>
      <c r="G27" s="56">
        <v>0</v>
      </c>
      <c r="H27" s="56">
        <v>0</v>
      </c>
      <c r="I27" s="56">
        <v>0</v>
      </c>
      <c r="J27" s="52">
        <f t="shared" si="0"/>
        <v>18</v>
      </c>
      <c r="K27" s="54">
        <f>J27+J26</f>
        <v>30</v>
      </c>
      <c r="L27" s="55"/>
      <c r="M27" s="55"/>
    </row>
    <row r="28" spans="1:13" ht="14.25" customHeight="1" x14ac:dyDescent="0.25">
      <c r="A28" s="50" t="s">
        <v>54</v>
      </c>
      <c r="B28" s="56">
        <v>0</v>
      </c>
      <c r="C28" s="56">
        <v>1</v>
      </c>
      <c r="D28" s="56">
        <v>10</v>
      </c>
      <c r="E28" s="56">
        <v>0</v>
      </c>
      <c r="F28" s="56">
        <v>0</v>
      </c>
      <c r="G28" s="56">
        <v>1</v>
      </c>
      <c r="H28" s="56">
        <v>0</v>
      </c>
      <c r="I28" s="56">
        <v>0</v>
      </c>
      <c r="J28" s="52">
        <f t="shared" si="0"/>
        <v>12.5</v>
      </c>
      <c r="K28" s="53"/>
      <c r="L28" s="54"/>
      <c r="M28" s="54"/>
    </row>
    <row r="29" spans="1:13" ht="14.25" customHeight="1" x14ac:dyDescent="0.25">
      <c r="A29" s="50" t="s">
        <v>55</v>
      </c>
      <c r="B29" s="56">
        <v>1</v>
      </c>
      <c r="C29" s="56">
        <v>0</v>
      </c>
      <c r="D29" s="56">
        <v>10</v>
      </c>
      <c r="E29" s="56">
        <v>0</v>
      </c>
      <c r="F29" s="56">
        <v>0</v>
      </c>
      <c r="G29" s="56">
        <v>1</v>
      </c>
      <c r="H29" s="56">
        <v>0</v>
      </c>
      <c r="I29" s="56">
        <v>0</v>
      </c>
      <c r="J29" s="52">
        <f t="shared" si="0"/>
        <v>12.3</v>
      </c>
      <c r="K29" s="54">
        <f>J29+J28</f>
        <v>24.8</v>
      </c>
      <c r="L29" s="54">
        <f>SUM(J26:J29)</f>
        <v>54.8</v>
      </c>
      <c r="M29" s="54">
        <f>SUM(C26:I29)</f>
        <v>52</v>
      </c>
    </row>
    <row r="30" spans="1:13" ht="14.25" customHeight="1" x14ac:dyDescent="0.25">
      <c r="A30" s="50" t="s">
        <v>56</v>
      </c>
      <c r="B30" s="56">
        <v>0</v>
      </c>
      <c r="C30" s="56">
        <v>0</v>
      </c>
      <c r="D30" s="56">
        <v>16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2">
        <f t="shared" si="0"/>
        <v>16</v>
      </c>
      <c r="K30" s="53"/>
      <c r="L30" s="53"/>
      <c r="M30" s="53"/>
    </row>
    <row r="31" spans="1:13" ht="14.25" customHeight="1" x14ac:dyDescent="0.25">
      <c r="A31" s="50" t="s">
        <v>57</v>
      </c>
      <c r="B31" s="56">
        <v>1</v>
      </c>
      <c r="C31" s="56">
        <v>0</v>
      </c>
      <c r="D31" s="56">
        <v>18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2">
        <f t="shared" si="0"/>
        <v>18.3</v>
      </c>
      <c r="K31" s="54">
        <f>J31+J30</f>
        <v>34.299999999999997</v>
      </c>
      <c r="L31" s="55"/>
      <c r="M31" s="55"/>
    </row>
    <row r="32" spans="1:13" ht="14.25" customHeight="1" x14ac:dyDescent="0.25">
      <c r="A32" s="50" t="s">
        <v>58</v>
      </c>
      <c r="B32" s="56">
        <v>0</v>
      </c>
      <c r="C32" s="56">
        <v>0</v>
      </c>
      <c r="D32" s="56">
        <v>19</v>
      </c>
      <c r="E32" s="56">
        <v>0</v>
      </c>
      <c r="F32" s="56">
        <v>0</v>
      </c>
      <c r="G32" s="56">
        <v>1</v>
      </c>
      <c r="H32" s="56">
        <v>0</v>
      </c>
      <c r="I32" s="56">
        <v>0</v>
      </c>
      <c r="J32" s="52">
        <f t="shared" si="0"/>
        <v>21</v>
      </c>
      <c r="K32" s="53"/>
      <c r="L32" s="54"/>
      <c r="M32" s="54"/>
    </row>
    <row r="33" spans="1:13" ht="14.25" customHeight="1" x14ac:dyDescent="0.25">
      <c r="A33" s="50" t="s">
        <v>59</v>
      </c>
      <c r="B33" s="56">
        <v>0</v>
      </c>
      <c r="C33" s="56">
        <v>0</v>
      </c>
      <c r="D33" s="56">
        <v>25</v>
      </c>
      <c r="E33" s="56">
        <v>0</v>
      </c>
      <c r="F33" s="56">
        <v>0</v>
      </c>
      <c r="G33" s="56">
        <v>1</v>
      </c>
      <c r="H33" s="56">
        <v>0</v>
      </c>
      <c r="I33" s="56">
        <v>0</v>
      </c>
      <c r="J33" s="52">
        <f t="shared" si="0"/>
        <v>27</v>
      </c>
      <c r="K33" s="54">
        <f>J33+J32</f>
        <v>48</v>
      </c>
      <c r="L33" s="54">
        <f>SUM(J30:J33)</f>
        <v>82.3</v>
      </c>
      <c r="M33" s="54">
        <f>SUM(C30:I33)</f>
        <v>80</v>
      </c>
    </row>
    <row r="34" spans="1:13" ht="14.25" customHeight="1" x14ac:dyDescent="0.25">
      <c r="A34" s="50" t="s">
        <v>60</v>
      </c>
      <c r="B34" s="56">
        <v>0</v>
      </c>
      <c r="C34" s="56">
        <v>0</v>
      </c>
      <c r="D34" s="56">
        <v>19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2">
        <f t="shared" si="0"/>
        <v>19</v>
      </c>
      <c r="K34" s="53"/>
      <c r="L34" s="53"/>
      <c r="M34" s="53"/>
    </row>
    <row r="35" spans="1:13" ht="14.25" customHeight="1" x14ac:dyDescent="0.25">
      <c r="A35" s="50" t="s">
        <v>61</v>
      </c>
      <c r="B35" s="56">
        <v>0</v>
      </c>
      <c r="C35" s="56">
        <v>0</v>
      </c>
      <c r="D35" s="56">
        <v>20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2">
        <f t="shared" si="0"/>
        <v>20</v>
      </c>
      <c r="K35" s="54">
        <f>J35+J34</f>
        <v>39</v>
      </c>
      <c r="L35" s="55"/>
      <c r="M35" s="55"/>
    </row>
    <row r="36" spans="1:13" ht="14.25" customHeight="1" x14ac:dyDescent="0.25">
      <c r="A36" s="50" t="s">
        <v>62</v>
      </c>
      <c r="B36" s="56">
        <v>0</v>
      </c>
      <c r="C36" s="56">
        <v>0</v>
      </c>
      <c r="D36" s="56">
        <v>26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2">
        <f t="shared" si="0"/>
        <v>26</v>
      </c>
      <c r="K36" s="53"/>
      <c r="L36" s="54"/>
      <c r="M36" s="54"/>
    </row>
    <row r="37" spans="1:13" ht="14.25" customHeight="1" x14ac:dyDescent="0.25">
      <c r="A37" s="50" t="s">
        <v>63</v>
      </c>
      <c r="B37" s="56">
        <v>0</v>
      </c>
      <c r="C37" s="56">
        <v>0</v>
      </c>
      <c r="D37" s="56">
        <v>29</v>
      </c>
      <c r="E37" s="56">
        <v>0</v>
      </c>
      <c r="F37" s="56">
        <v>0</v>
      </c>
      <c r="G37" s="56">
        <v>0</v>
      </c>
      <c r="H37" s="56">
        <v>1</v>
      </c>
      <c r="I37" s="56">
        <v>0</v>
      </c>
      <c r="J37" s="52">
        <f t="shared" si="0"/>
        <v>32</v>
      </c>
      <c r="K37" s="54">
        <f>J37+J36</f>
        <v>58</v>
      </c>
      <c r="L37" s="54">
        <f>SUM(J34:J37)</f>
        <v>97</v>
      </c>
      <c r="M37" s="54">
        <f>SUM(C34:I37)</f>
        <v>95</v>
      </c>
    </row>
    <row r="38" spans="1:13" ht="14.25" customHeight="1" x14ac:dyDescent="0.25">
      <c r="A38" s="50" t="s">
        <v>64</v>
      </c>
      <c r="B38" s="56">
        <v>0</v>
      </c>
      <c r="C38" s="56">
        <v>0</v>
      </c>
      <c r="D38" s="56">
        <v>30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2">
        <f t="shared" si="0"/>
        <v>30</v>
      </c>
      <c r="K38" s="53"/>
      <c r="L38" s="53"/>
      <c r="M38" s="53"/>
    </row>
    <row r="39" spans="1:13" ht="14.25" customHeight="1" x14ac:dyDescent="0.25">
      <c r="A39" s="50" t="s">
        <v>65</v>
      </c>
      <c r="B39" s="56">
        <v>1</v>
      </c>
      <c r="C39" s="56">
        <v>0</v>
      </c>
      <c r="D39" s="56">
        <v>24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2">
        <f t="shared" si="0"/>
        <v>24.3</v>
      </c>
      <c r="K39" s="54">
        <f>J39+J38</f>
        <v>54.3</v>
      </c>
      <c r="L39" s="55"/>
      <c r="M39" s="55"/>
    </row>
    <row r="40" spans="1:13" ht="14.25" customHeight="1" x14ac:dyDescent="0.25">
      <c r="A40" s="50" t="s">
        <v>66</v>
      </c>
      <c r="B40" s="56">
        <v>0</v>
      </c>
      <c r="C40" s="56">
        <v>0</v>
      </c>
      <c r="D40" s="56">
        <v>17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2">
        <f t="shared" si="0"/>
        <v>17</v>
      </c>
      <c r="K40" s="53"/>
      <c r="L40" s="54"/>
      <c r="M40" s="54"/>
    </row>
    <row r="41" spans="1:13" ht="14.25" customHeight="1" x14ac:dyDescent="0.25">
      <c r="A41" s="50" t="s">
        <v>67</v>
      </c>
      <c r="B41" s="56">
        <v>0</v>
      </c>
      <c r="C41" s="56">
        <v>0</v>
      </c>
      <c r="D41" s="56">
        <v>16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2">
        <f t="shared" si="0"/>
        <v>16</v>
      </c>
      <c r="K41" s="54">
        <f>J41+J40</f>
        <v>33</v>
      </c>
      <c r="L41" s="54">
        <f>SUM(J38:J41)</f>
        <v>87.3</v>
      </c>
      <c r="M41" s="54">
        <f>SUM(C38:I41)</f>
        <v>87</v>
      </c>
    </row>
    <row r="42" spans="1:13" ht="14.25" customHeight="1" x14ac:dyDescent="0.25">
      <c r="A42" s="50" t="s">
        <v>68</v>
      </c>
      <c r="B42" s="56">
        <v>0</v>
      </c>
      <c r="C42" s="56">
        <v>0</v>
      </c>
      <c r="D42" s="56">
        <v>23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2">
        <f t="shared" si="0"/>
        <v>23</v>
      </c>
      <c r="K42" s="53"/>
      <c r="L42" s="53"/>
      <c r="M42" s="53"/>
    </row>
    <row r="43" spans="1:13" ht="14.25" customHeight="1" x14ac:dyDescent="0.25">
      <c r="A43" s="50" t="s">
        <v>69</v>
      </c>
      <c r="B43" s="56">
        <v>0</v>
      </c>
      <c r="C43" s="56">
        <v>0</v>
      </c>
      <c r="D43" s="56">
        <v>14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2">
        <f t="shared" si="0"/>
        <v>14</v>
      </c>
      <c r="K43" s="54">
        <f>J43+J42</f>
        <v>37</v>
      </c>
      <c r="L43" s="55"/>
      <c r="M43" s="55"/>
    </row>
    <row r="44" spans="1:13" ht="14.25" customHeight="1" x14ac:dyDescent="0.25">
      <c r="A44" s="50" t="s">
        <v>70</v>
      </c>
      <c r="B44" s="56">
        <v>0</v>
      </c>
      <c r="C44" s="56">
        <v>1</v>
      </c>
      <c r="D44" s="56">
        <v>19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2">
        <f t="shared" si="0"/>
        <v>19.5</v>
      </c>
      <c r="K44" s="53"/>
      <c r="L44" s="54"/>
      <c r="M44" s="54"/>
    </row>
    <row r="45" spans="1:13" ht="14.25" customHeight="1" x14ac:dyDescent="0.25">
      <c r="A45" s="50" t="s">
        <v>71</v>
      </c>
      <c r="B45" s="56">
        <v>0</v>
      </c>
      <c r="C45" s="56">
        <v>0</v>
      </c>
      <c r="D45" s="56">
        <v>14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2">
        <f t="shared" si="0"/>
        <v>14</v>
      </c>
      <c r="K45" s="54">
        <f>J45+J44</f>
        <v>33.5</v>
      </c>
      <c r="L45" s="54">
        <f>SUM(J42:J45)</f>
        <v>70.5</v>
      </c>
      <c r="M45" s="54">
        <f>SUM(C42:I45)</f>
        <v>71</v>
      </c>
    </row>
    <row r="46" spans="1:13" ht="14.25" customHeight="1" x14ac:dyDescent="0.25">
      <c r="A46" s="50" t="s">
        <v>72</v>
      </c>
      <c r="B46" s="56">
        <v>0</v>
      </c>
      <c r="C46" s="56">
        <v>0</v>
      </c>
      <c r="D46" s="56">
        <v>10</v>
      </c>
      <c r="E46" s="56">
        <v>0</v>
      </c>
      <c r="F46" s="56">
        <v>0</v>
      </c>
      <c r="G46" s="56">
        <v>0</v>
      </c>
      <c r="H46" s="56">
        <v>1</v>
      </c>
      <c r="I46" s="56">
        <v>0</v>
      </c>
      <c r="J46" s="52">
        <f t="shared" ref="J46:J77" si="1">SUMPRODUCT(B46:I46,$B$11:$I$11)</f>
        <v>13</v>
      </c>
      <c r="K46" s="53"/>
      <c r="L46" s="53"/>
      <c r="M46" s="53"/>
    </row>
    <row r="47" spans="1:13" ht="14.25" customHeight="1" x14ac:dyDescent="0.25">
      <c r="A47" s="50" t="s">
        <v>73</v>
      </c>
      <c r="B47" s="56">
        <v>0</v>
      </c>
      <c r="C47" s="56">
        <v>0</v>
      </c>
      <c r="D47" s="56">
        <v>16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2">
        <f t="shared" si="1"/>
        <v>16</v>
      </c>
      <c r="K47" s="54">
        <f>J47+J46</f>
        <v>29</v>
      </c>
      <c r="L47" s="55"/>
      <c r="M47" s="55"/>
    </row>
    <row r="48" spans="1:13" ht="14.25" customHeight="1" x14ac:dyDescent="0.25">
      <c r="A48" s="50" t="s">
        <v>74</v>
      </c>
      <c r="B48" s="56">
        <v>0</v>
      </c>
      <c r="C48" s="56">
        <v>2</v>
      </c>
      <c r="D48" s="56">
        <v>20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2">
        <f t="shared" si="1"/>
        <v>21</v>
      </c>
      <c r="K48" s="53"/>
      <c r="L48" s="54"/>
      <c r="M48" s="54"/>
    </row>
    <row r="49" spans="1:13" ht="14.25" customHeight="1" x14ac:dyDescent="0.25">
      <c r="A49" s="50" t="s">
        <v>75</v>
      </c>
      <c r="B49" s="56">
        <v>0</v>
      </c>
      <c r="C49" s="56">
        <v>0</v>
      </c>
      <c r="D49" s="56">
        <v>26</v>
      </c>
      <c r="E49" s="56">
        <v>0</v>
      </c>
      <c r="F49" s="56">
        <v>0</v>
      </c>
      <c r="G49" s="56">
        <v>0</v>
      </c>
      <c r="H49" s="56">
        <v>0</v>
      </c>
      <c r="I49" s="56">
        <v>0</v>
      </c>
      <c r="J49" s="52">
        <f t="shared" si="1"/>
        <v>26</v>
      </c>
      <c r="K49" s="54">
        <f>J49+J48</f>
        <v>47</v>
      </c>
      <c r="L49" s="54">
        <f>SUM(J46:J49)</f>
        <v>76</v>
      </c>
      <c r="M49" s="54">
        <f>SUM(C46:I49)</f>
        <v>75</v>
      </c>
    </row>
    <row r="50" spans="1:13" ht="14.25" customHeight="1" x14ac:dyDescent="0.25">
      <c r="A50" s="50" t="s">
        <v>76</v>
      </c>
      <c r="B50" s="56">
        <v>0</v>
      </c>
      <c r="C50" s="56">
        <v>0</v>
      </c>
      <c r="D50" s="56">
        <v>18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2">
        <f t="shared" si="1"/>
        <v>18</v>
      </c>
      <c r="K50" s="53"/>
      <c r="L50" s="53"/>
      <c r="M50" s="53"/>
    </row>
    <row r="51" spans="1:13" ht="14.25" customHeight="1" x14ac:dyDescent="0.25">
      <c r="A51" s="50" t="s">
        <v>77</v>
      </c>
      <c r="B51" s="56">
        <v>0</v>
      </c>
      <c r="C51" s="56">
        <v>0</v>
      </c>
      <c r="D51" s="56">
        <v>18</v>
      </c>
      <c r="E51" s="56">
        <v>0</v>
      </c>
      <c r="F51" s="56">
        <v>0</v>
      </c>
      <c r="G51" s="56">
        <v>0</v>
      </c>
      <c r="H51" s="56">
        <v>0</v>
      </c>
      <c r="I51" s="56">
        <v>0</v>
      </c>
      <c r="J51" s="52">
        <f t="shared" si="1"/>
        <v>18</v>
      </c>
      <c r="K51" s="54">
        <f>J51+J50</f>
        <v>36</v>
      </c>
      <c r="L51" s="55"/>
      <c r="M51" s="55"/>
    </row>
    <row r="52" spans="1:13" ht="14.25" customHeight="1" x14ac:dyDescent="0.25">
      <c r="A52" s="50" t="s">
        <v>78</v>
      </c>
      <c r="B52" s="56">
        <v>0</v>
      </c>
      <c r="C52" s="56">
        <v>0</v>
      </c>
      <c r="D52" s="56">
        <v>18</v>
      </c>
      <c r="E52" s="56">
        <v>0</v>
      </c>
      <c r="F52" s="56">
        <v>0</v>
      </c>
      <c r="G52" s="56">
        <v>0</v>
      </c>
      <c r="H52" s="56">
        <v>0</v>
      </c>
      <c r="I52" s="56">
        <v>0</v>
      </c>
      <c r="J52" s="52">
        <f t="shared" si="1"/>
        <v>18</v>
      </c>
      <c r="K52" s="53"/>
      <c r="L52" s="54"/>
      <c r="M52" s="54"/>
    </row>
    <row r="53" spans="1:13" ht="14.25" customHeight="1" x14ac:dyDescent="0.25">
      <c r="A53" s="50" t="s">
        <v>79</v>
      </c>
      <c r="B53" s="56">
        <v>0</v>
      </c>
      <c r="C53" s="56">
        <v>0</v>
      </c>
      <c r="D53" s="56">
        <v>30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2">
        <f t="shared" si="1"/>
        <v>30</v>
      </c>
      <c r="K53" s="54">
        <f>J53+J52</f>
        <v>48</v>
      </c>
      <c r="L53" s="54">
        <f>SUM(J50:J53)</f>
        <v>84</v>
      </c>
      <c r="M53" s="54">
        <f>SUM(C50:I53)</f>
        <v>84</v>
      </c>
    </row>
    <row r="54" spans="1:13" ht="14.25" customHeight="1" x14ac:dyDescent="0.25">
      <c r="A54" s="50" t="s">
        <v>80</v>
      </c>
      <c r="B54" s="56">
        <v>0</v>
      </c>
      <c r="C54" s="56">
        <v>0</v>
      </c>
      <c r="D54" s="56">
        <v>24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2">
        <f t="shared" si="1"/>
        <v>24</v>
      </c>
      <c r="K54" s="53"/>
      <c r="L54" s="53"/>
      <c r="M54" s="53"/>
    </row>
    <row r="55" spans="1:13" ht="14.25" customHeight="1" x14ac:dyDescent="0.25">
      <c r="A55" s="50" t="s">
        <v>81</v>
      </c>
      <c r="B55" s="56">
        <v>0</v>
      </c>
      <c r="C55" s="56">
        <v>0</v>
      </c>
      <c r="D55" s="56">
        <v>22</v>
      </c>
      <c r="E55" s="56">
        <v>0</v>
      </c>
      <c r="F55" s="56">
        <v>0</v>
      </c>
      <c r="G55" s="56">
        <v>1</v>
      </c>
      <c r="H55" s="56">
        <v>0</v>
      </c>
      <c r="I55" s="56">
        <v>0</v>
      </c>
      <c r="J55" s="52">
        <f t="shared" si="1"/>
        <v>24</v>
      </c>
      <c r="K55" s="54">
        <f>J55+J54</f>
        <v>48</v>
      </c>
      <c r="L55" s="55"/>
      <c r="M55" s="55"/>
    </row>
    <row r="56" spans="1:13" ht="14.25" customHeight="1" x14ac:dyDescent="0.25">
      <c r="A56" s="50" t="s">
        <v>82</v>
      </c>
      <c r="B56" s="56">
        <v>0</v>
      </c>
      <c r="C56" s="56">
        <v>0</v>
      </c>
      <c r="D56" s="56">
        <v>21</v>
      </c>
      <c r="E56" s="56">
        <v>0</v>
      </c>
      <c r="F56" s="56">
        <v>0</v>
      </c>
      <c r="G56" s="56">
        <v>0</v>
      </c>
      <c r="H56" s="56">
        <v>0</v>
      </c>
      <c r="I56" s="56">
        <v>0</v>
      </c>
      <c r="J56" s="52">
        <f t="shared" si="1"/>
        <v>21</v>
      </c>
      <c r="K56" s="53"/>
      <c r="L56" s="54"/>
      <c r="M56" s="54"/>
    </row>
    <row r="57" spans="1:13" ht="14.25" customHeight="1" x14ac:dyDescent="0.25">
      <c r="A57" s="50" t="s">
        <v>83</v>
      </c>
      <c r="B57" s="56">
        <v>0</v>
      </c>
      <c r="C57" s="56">
        <v>0</v>
      </c>
      <c r="D57" s="56">
        <v>25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2">
        <f t="shared" si="1"/>
        <v>25</v>
      </c>
      <c r="K57" s="57">
        <f>J57+J56</f>
        <v>46</v>
      </c>
      <c r="L57" s="54">
        <f>SUM(J54:J57)</f>
        <v>94</v>
      </c>
      <c r="M57" s="54">
        <f>SUM(C54:I57)</f>
        <v>93</v>
      </c>
    </row>
    <row r="58" spans="1:13" ht="14.25" customHeight="1" x14ac:dyDescent="0.25">
      <c r="A58" s="50" t="s">
        <v>84</v>
      </c>
      <c r="B58" s="56">
        <v>0</v>
      </c>
      <c r="C58" s="56">
        <v>0</v>
      </c>
      <c r="D58" s="56">
        <v>25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2">
        <f t="shared" si="1"/>
        <v>25</v>
      </c>
      <c r="K58" s="53"/>
      <c r="L58" s="53"/>
      <c r="M58" s="53"/>
    </row>
    <row r="59" spans="1:13" ht="14.25" customHeight="1" x14ac:dyDescent="0.25">
      <c r="A59" s="50" t="s">
        <v>85</v>
      </c>
      <c r="B59" s="56">
        <v>1</v>
      </c>
      <c r="C59" s="56">
        <v>0</v>
      </c>
      <c r="D59" s="56">
        <v>34</v>
      </c>
      <c r="E59" s="56">
        <v>0</v>
      </c>
      <c r="F59" s="56">
        <v>0</v>
      </c>
      <c r="G59" s="56">
        <v>1</v>
      </c>
      <c r="H59" s="56">
        <v>0</v>
      </c>
      <c r="I59" s="56">
        <v>0</v>
      </c>
      <c r="J59" s="52">
        <f t="shared" si="1"/>
        <v>36.299999999999997</v>
      </c>
      <c r="K59" s="54">
        <f>J59+J58</f>
        <v>61.3</v>
      </c>
      <c r="L59" s="55"/>
      <c r="M59" s="55"/>
    </row>
    <row r="60" spans="1:13" ht="14.25" customHeight="1" x14ac:dyDescent="0.25">
      <c r="A60" s="50" t="s">
        <v>86</v>
      </c>
      <c r="B60" s="56">
        <v>1</v>
      </c>
      <c r="C60" s="56">
        <v>1</v>
      </c>
      <c r="D60" s="56">
        <v>31</v>
      </c>
      <c r="E60" s="56">
        <v>0</v>
      </c>
      <c r="F60" s="56">
        <v>0</v>
      </c>
      <c r="G60" s="56">
        <v>0</v>
      </c>
      <c r="H60" s="56">
        <v>0</v>
      </c>
      <c r="I60" s="56">
        <v>0</v>
      </c>
      <c r="J60" s="52">
        <f t="shared" si="1"/>
        <v>31.8</v>
      </c>
      <c r="K60" s="53"/>
      <c r="L60" s="54"/>
      <c r="M60" s="54"/>
    </row>
    <row r="61" spans="1:13" ht="14.25" customHeight="1" x14ac:dyDescent="0.25">
      <c r="A61" s="50" t="s">
        <v>87</v>
      </c>
      <c r="B61" s="56">
        <v>0</v>
      </c>
      <c r="C61" s="56">
        <v>0</v>
      </c>
      <c r="D61" s="56">
        <v>34</v>
      </c>
      <c r="E61" s="56">
        <v>0</v>
      </c>
      <c r="F61" s="56">
        <v>0</v>
      </c>
      <c r="G61" s="56">
        <v>0</v>
      </c>
      <c r="H61" s="56">
        <v>0</v>
      </c>
      <c r="I61" s="56">
        <v>0</v>
      </c>
      <c r="J61" s="52">
        <f t="shared" si="1"/>
        <v>34</v>
      </c>
      <c r="K61" s="54">
        <f>J61+J60</f>
        <v>65.8</v>
      </c>
      <c r="L61" s="54">
        <f>SUM(J58:J61)</f>
        <v>127.1</v>
      </c>
      <c r="M61" s="54">
        <f>SUM(C58:I61)</f>
        <v>126</v>
      </c>
    </row>
    <row r="62" spans="1:13" ht="14.25" customHeight="1" x14ac:dyDescent="0.25">
      <c r="A62" s="50" t="s">
        <v>88</v>
      </c>
      <c r="B62" s="56">
        <v>0</v>
      </c>
      <c r="C62" s="56">
        <v>0</v>
      </c>
      <c r="D62" s="56">
        <v>30</v>
      </c>
      <c r="E62" s="56">
        <v>0</v>
      </c>
      <c r="F62" s="56">
        <v>0</v>
      </c>
      <c r="G62" s="56">
        <v>0</v>
      </c>
      <c r="H62" s="56">
        <v>0</v>
      </c>
      <c r="I62" s="56">
        <v>0</v>
      </c>
      <c r="J62" s="52">
        <f t="shared" si="1"/>
        <v>30</v>
      </c>
      <c r="K62" s="53"/>
      <c r="L62" s="53"/>
      <c r="M62" s="53"/>
    </row>
    <row r="63" spans="1:13" ht="14.25" customHeight="1" x14ac:dyDescent="0.25">
      <c r="A63" s="50" t="s">
        <v>89</v>
      </c>
      <c r="B63" s="56">
        <v>0</v>
      </c>
      <c r="C63" s="56">
        <v>0</v>
      </c>
      <c r="D63" s="56">
        <v>38</v>
      </c>
      <c r="E63" s="56">
        <v>0</v>
      </c>
      <c r="F63" s="56">
        <v>0</v>
      </c>
      <c r="G63" s="56">
        <v>0</v>
      </c>
      <c r="H63" s="56">
        <v>0</v>
      </c>
      <c r="I63" s="56">
        <v>0</v>
      </c>
      <c r="J63" s="52">
        <f t="shared" si="1"/>
        <v>38</v>
      </c>
      <c r="K63" s="54">
        <f>J63+J62</f>
        <v>68</v>
      </c>
      <c r="L63" s="55"/>
      <c r="M63" s="55"/>
    </row>
    <row r="64" spans="1:13" ht="14.25" customHeight="1" x14ac:dyDescent="0.25">
      <c r="A64" s="50" t="s">
        <v>90</v>
      </c>
      <c r="B64" s="56">
        <v>0</v>
      </c>
      <c r="C64" s="56">
        <v>0</v>
      </c>
      <c r="D64" s="56">
        <v>20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2">
        <f t="shared" si="1"/>
        <v>20</v>
      </c>
      <c r="K64" s="53"/>
      <c r="L64" s="54"/>
      <c r="M64" s="54"/>
    </row>
    <row r="65" spans="1:13" ht="14.25" customHeight="1" x14ac:dyDescent="0.25">
      <c r="A65" s="50" t="s">
        <v>91</v>
      </c>
      <c r="B65" s="56">
        <v>0</v>
      </c>
      <c r="C65" s="56">
        <v>0</v>
      </c>
      <c r="D65" s="56">
        <v>31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2">
        <f t="shared" si="1"/>
        <v>31</v>
      </c>
      <c r="K65" s="54">
        <f>J65+J64</f>
        <v>51</v>
      </c>
      <c r="L65" s="54">
        <f>SUM(J62:J65)</f>
        <v>119</v>
      </c>
      <c r="M65" s="54">
        <f>SUM(C62:I65)</f>
        <v>119</v>
      </c>
    </row>
    <row r="66" spans="1:13" ht="14.25" customHeight="1" x14ac:dyDescent="0.25">
      <c r="A66" s="50" t="s">
        <v>92</v>
      </c>
      <c r="B66" s="56">
        <v>0</v>
      </c>
      <c r="C66" s="56">
        <v>0</v>
      </c>
      <c r="D66" s="56">
        <v>29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2">
        <f t="shared" si="1"/>
        <v>29</v>
      </c>
      <c r="K66" s="53"/>
      <c r="L66" s="53"/>
      <c r="M66" s="53"/>
    </row>
    <row r="67" spans="1:13" ht="14.25" customHeight="1" x14ac:dyDescent="0.25">
      <c r="A67" s="50" t="s">
        <v>93</v>
      </c>
      <c r="B67" s="56">
        <v>0</v>
      </c>
      <c r="C67" s="56">
        <v>1</v>
      </c>
      <c r="D67" s="56">
        <v>23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2">
        <f t="shared" si="1"/>
        <v>23.5</v>
      </c>
      <c r="K67" s="54">
        <f>J67+J66</f>
        <v>52.5</v>
      </c>
      <c r="L67" s="55"/>
      <c r="M67" s="55"/>
    </row>
    <row r="68" spans="1:13" ht="14.25" customHeight="1" x14ac:dyDescent="0.25">
      <c r="A68" s="50" t="s">
        <v>94</v>
      </c>
      <c r="B68" s="56">
        <v>0</v>
      </c>
      <c r="C68" s="56">
        <v>1</v>
      </c>
      <c r="D68" s="56">
        <v>16</v>
      </c>
      <c r="E68" s="56">
        <v>0</v>
      </c>
      <c r="F68" s="56">
        <v>0</v>
      </c>
      <c r="G68" s="56">
        <v>0</v>
      </c>
      <c r="H68" s="56">
        <v>0</v>
      </c>
      <c r="I68" s="56">
        <v>0</v>
      </c>
      <c r="J68" s="52">
        <f t="shared" si="1"/>
        <v>16.5</v>
      </c>
      <c r="K68" s="53"/>
      <c r="L68" s="54"/>
      <c r="M68" s="54"/>
    </row>
    <row r="69" spans="1:13" ht="14.25" customHeight="1" x14ac:dyDescent="0.25">
      <c r="A69" s="50" t="s">
        <v>95</v>
      </c>
      <c r="B69" s="56">
        <v>0</v>
      </c>
      <c r="C69" s="56">
        <v>0</v>
      </c>
      <c r="D69" s="56">
        <v>20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2">
        <f t="shared" si="1"/>
        <v>20</v>
      </c>
      <c r="K69" s="54">
        <f>J69+J68</f>
        <v>36.5</v>
      </c>
      <c r="L69" s="54">
        <f>SUM(J66:J69)</f>
        <v>89</v>
      </c>
      <c r="M69" s="54">
        <f>SUM(C66:I69)</f>
        <v>90</v>
      </c>
    </row>
    <row r="70" spans="1:13" ht="14.25" customHeight="1" x14ac:dyDescent="0.25">
      <c r="A70" s="50" t="s">
        <v>96</v>
      </c>
      <c r="B70" s="51"/>
      <c r="C70" s="51"/>
      <c r="D70" s="51"/>
      <c r="E70" s="51"/>
      <c r="F70" s="51"/>
      <c r="G70" s="51"/>
      <c r="H70" s="51"/>
      <c r="I70" s="51"/>
      <c r="J70" s="52">
        <f t="shared" si="1"/>
        <v>0</v>
      </c>
      <c r="K70" s="53"/>
      <c r="L70" s="53"/>
      <c r="M70" s="53"/>
    </row>
    <row r="71" spans="1:13" ht="14.25" customHeight="1" x14ac:dyDescent="0.25">
      <c r="A71" s="50" t="s">
        <v>97</v>
      </c>
      <c r="B71" s="51"/>
      <c r="C71" s="51"/>
      <c r="D71" s="51"/>
      <c r="E71" s="51"/>
      <c r="F71" s="51"/>
      <c r="G71" s="51"/>
      <c r="H71" s="51"/>
      <c r="I71" s="51"/>
      <c r="J71" s="52">
        <f t="shared" si="1"/>
        <v>0</v>
      </c>
      <c r="K71" s="54">
        <f>J71+J70</f>
        <v>0</v>
      </c>
      <c r="L71" s="55"/>
      <c r="M71" s="55"/>
    </row>
    <row r="72" spans="1:13" ht="14.25" customHeight="1" x14ac:dyDescent="0.25">
      <c r="A72" s="50" t="s">
        <v>98</v>
      </c>
      <c r="B72" s="51"/>
      <c r="C72" s="51"/>
      <c r="D72" s="51"/>
      <c r="E72" s="51"/>
      <c r="F72" s="51"/>
      <c r="G72" s="51"/>
      <c r="H72" s="51"/>
      <c r="I72" s="51"/>
      <c r="J72" s="52">
        <f t="shared" si="1"/>
        <v>0</v>
      </c>
      <c r="K72" s="53"/>
      <c r="L72" s="54"/>
      <c r="M72" s="54"/>
    </row>
    <row r="73" spans="1:13" ht="14.25" customHeight="1" x14ac:dyDescent="0.25">
      <c r="A73" s="58" t="s">
        <v>99</v>
      </c>
      <c r="B73" s="51"/>
      <c r="C73" s="51"/>
      <c r="D73" s="51"/>
      <c r="E73" s="51"/>
      <c r="F73" s="51"/>
      <c r="G73" s="51"/>
      <c r="H73" s="51"/>
      <c r="I73" s="51"/>
      <c r="J73" s="52">
        <f t="shared" si="1"/>
        <v>0</v>
      </c>
      <c r="K73" s="54">
        <f>J73+J72</f>
        <v>0</v>
      </c>
      <c r="L73" s="54">
        <f>SUM(J70:J73)</f>
        <v>0</v>
      </c>
      <c r="M73" s="54">
        <f>SUM(C70:I73)</f>
        <v>0</v>
      </c>
    </row>
    <row r="74" spans="1:13" ht="14.25" customHeight="1" x14ac:dyDescent="0.25">
      <c r="A74" s="59" t="s">
        <v>100</v>
      </c>
      <c r="B74" s="51"/>
      <c r="C74" s="51"/>
      <c r="D74" s="51"/>
      <c r="E74" s="51"/>
      <c r="F74" s="51"/>
      <c r="G74" s="51"/>
      <c r="H74" s="51"/>
      <c r="I74" s="51"/>
      <c r="J74" s="52">
        <f t="shared" si="1"/>
        <v>0</v>
      </c>
      <c r="K74" s="53"/>
      <c r="L74" s="53"/>
      <c r="M74" s="53"/>
    </row>
    <row r="75" spans="1:13" ht="14.25" customHeight="1" x14ac:dyDescent="0.25">
      <c r="A75" s="59" t="s">
        <v>101</v>
      </c>
      <c r="B75" s="51"/>
      <c r="C75" s="51"/>
      <c r="D75" s="51"/>
      <c r="E75" s="51"/>
      <c r="F75" s="51"/>
      <c r="G75" s="51"/>
      <c r="H75" s="51"/>
      <c r="I75" s="51"/>
      <c r="J75" s="52">
        <f t="shared" si="1"/>
        <v>0</v>
      </c>
      <c r="K75" s="54">
        <f>J75+J74</f>
        <v>0</v>
      </c>
      <c r="L75" s="55"/>
      <c r="M75" s="55"/>
    </row>
    <row r="76" spans="1:13" ht="14.25" customHeight="1" x14ac:dyDescent="0.25">
      <c r="A76" s="59" t="s">
        <v>102</v>
      </c>
      <c r="B76" s="51"/>
      <c r="C76" s="51"/>
      <c r="D76" s="51"/>
      <c r="E76" s="51"/>
      <c r="F76" s="51"/>
      <c r="G76" s="51"/>
      <c r="H76" s="51"/>
      <c r="I76" s="51"/>
      <c r="J76" s="52">
        <f t="shared" si="1"/>
        <v>0</v>
      </c>
      <c r="K76" s="53"/>
      <c r="L76" s="54"/>
      <c r="M76" s="54"/>
    </row>
    <row r="77" spans="1:13" ht="14.25" customHeight="1" x14ac:dyDescent="0.25">
      <c r="A77" s="59" t="s">
        <v>103</v>
      </c>
      <c r="B77" s="51"/>
      <c r="C77" s="51"/>
      <c r="D77" s="51"/>
      <c r="E77" s="51"/>
      <c r="F77" s="51"/>
      <c r="G77" s="51"/>
      <c r="H77" s="51"/>
      <c r="I77" s="51"/>
      <c r="J77" s="52">
        <f t="shared" si="1"/>
        <v>0</v>
      </c>
      <c r="K77" s="54">
        <f>J77+J76</f>
        <v>0</v>
      </c>
      <c r="L77" s="54">
        <f>SUM(J74:J77)</f>
        <v>0</v>
      </c>
      <c r="M77" s="54">
        <f>SUM(C74:I77)</f>
        <v>0</v>
      </c>
    </row>
    <row r="78" spans="1:13" ht="14.25" customHeight="1" x14ac:dyDescent="0.25">
      <c r="A78" s="59" t="s">
        <v>104</v>
      </c>
      <c r="B78" s="51"/>
      <c r="C78" s="51"/>
      <c r="D78" s="51"/>
      <c r="E78" s="51"/>
      <c r="F78" s="51"/>
      <c r="G78" s="51"/>
      <c r="H78" s="51"/>
      <c r="I78" s="51"/>
      <c r="J78" s="52">
        <f t="shared" ref="J78:J109" si="2">SUMPRODUCT(B78:I78,$B$11:$I$11)</f>
        <v>0</v>
      </c>
      <c r="K78" s="53"/>
      <c r="L78" s="53"/>
      <c r="M78" s="53"/>
    </row>
    <row r="79" spans="1:13" ht="14.25" customHeight="1" x14ac:dyDescent="0.25">
      <c r="A79" s="59" t="s">
        <v>105</v>
      </c>
      <c r="B79" s="51"/>
      <c r="C79" s="51"/>
      <c r="D79" s="51"/>
      <c r="E79" s="51"/>
      <c r="F79" s="51"/>
      <c r="G79" s="51"/>
      <c r="H79" s="51"/>
      <c r="I79" s="51"/>
      <c r="J79" s="52">
        <f t="shared" si="2"/>
        <v>0</v>
      </c>
      <c r="K79" s="54">
        <f>J79+J78</f>
        <v>0</v>
      </c>
      <c r="L79" s="55"/>
      <c r="M79" s="55"/>
    </row>
    <row r="80" spans="1:13" ht="14.25" customHeight="1" x14ac:dyDescent="0.25">
      <c r="A80" s="59" t="s">
        <v>106</v>
      </c>
      <c r="B80" s="51"/>
      <c r="C80" s="51"/>
      <c r="D80" s="51"/>
      <c r="E80" s="51"/>
      <c r="F80" s="51"/>
      <c r="G80" s="51"/>
      <c r="H80" s="51"/>
      <c r="I80" s="51"/>
      <c r="J80" s="52">
        <f t="shared" si="2"/>
        <v>0</v>
      </c>
      <c r="K80" s="53"/>
      <c r="L80" s="54"/>
      <c r="M80" s="54"/>
    </row>
    <row r="81" spans="1:13" ht="14.25" customHeight="1" x14ac:dyDescent="0.25">
      <c r="A81" s="59" t="s">
        <v>107</v>
      </c>
      <c r="B81" s="51"/>
      <c r="C81" s="51"/>
      <c r="D81" s="51"/>
      <c r="E81" s="51"/>
      <c r="F81" s="51"/>
      <c r="G81" s="51"/>
      <c r="H81" s="51"/>
      <c r="I81" s="51"/>
      <c r="J81" s="52">
        <f t="shared" si="2"/>
        <v>0</v>
      </c>
      <c r="K81" s="54">
        <f>J81+J80</f>
        <v>0</v>
      </c>
      <c r="L81" s="54">
        <f>SUM(J78:J81)</f>
        <v>0</v>
      </c>
      <c r="M81" s="54">
        <f>SUM(C78:I81)</f>
        <v>0</v>
      </c>
    </row>
    <row r="82" spans="1:13" ht="14.25" customHeight="1" x14ac:dyDescent="0.45">
      <c r="A82" s="60" t="s">
        <v>108</v>
      </c>
      <c r="B82" s="61">
        <f>SUM(B$14:B81)</f>
        <v>5</v>
      </c>
      <c r="C82" s="61">
        <f>SUM(C$14:C81)</f>
        <v>8</v>
      </c>
      <c r="D82" s="61">
        <f>SUM(D$14:D81)</f>
        <v>1016</v>
      </c>
      <c r="E82" s="61">
        <f>SUM(E$14:E81)</f>
        <v>1</v>
      </c>
      <c r="F82" s="61">
        <f>SUM(F$14:F81)</f>
        <v>0</v>
      </c>
      <c r="G82" s="61">
        <f>SUM(G$14:G81)</f>
        <v>7</v>
      </c>
      <c r="H82" s="61">
        <f>SUM(H$14:H81)</f>
        <v>3</v>
      </c>
      <c r="I82" s="61">
        <f>SUM(I$14:I81)</f>
        <v>0</v>
      </c>
      <c r="J82" s="61">
        <f>SUM(B82:I82)</f>
        <v>1040</v>
      </c>
      <c r="K82" s="62"/>
      <c r="L82" s="63"/>
      <c r="M82" s="63"/>
    </row>
    <row r="83" spans="1:13" ht="14.25" customHeight="1" x14ac:dyDescent="0.25">
      <c r="L83" s="64"/>
      <c r="M83" s="64"/>
    </row>
    <row r="84" spans="1:13" ht="14.25" customHeight="1" x14ac:dyDescent="0.25">
      <c r="L84" s="65"/>
      <c r="M84" s="65"/>
    </row>
    <row r="85" spans="1:13" ht="14.25" customHeight="1" x14ac:dyDescent="0.25">
      <c r="L85" s="65"/>
      <c r="M85" s="65"/>
    </row>
    <row r="86" spans="1:13" ht="14.25" customHeight="1" x14ac:dyDescent="0.25"/>
    <row r="87" spans="1:13" ht="14.25" customHeight="1" x14ac:dyDescent="0.25"/>
    <row r="88" spans="1:13" ht="14.25" customHeight="1" x14ac:dyDescent="0.25"/>
    <row r="89" spans="1:13" ht="14.25" customHeight="1" x14ac:dyDescent="0.25"/>
    <row r="90" spans="1:13" ht="14.25" customHeight="1" x14ac:dyDescent="0.25"/>
    <row r="91" spans="1:13" ht="14.25" customHeight="1" x14ac:dyDescent="0.25"/>
    <row r="92" spans="1:13" ht="14.25" customHeight="1" x14ac:dyDescent="0.25"/>
    <row r="93" spans="1:13" ht="14.25" customHeight="1" x14ac:dyDescent="0.25"/>
    <row r="94" spans="1:13" ht="14.25" customHeight="1" x14ac:dyDescent="0.25"/>
    <row r="95" spans="1:13" ht="14.25" customHeight="1" x14ac:dyDescent="0.25"/>
    <row r="96" spans="1:1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</sheetData>
  <mergeCells count="2">
    <mergeCell ref="A3:M3"/>
    <mergeCell ref="A4:M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980"/>
  <sheetViews>
    <sheetView zoomScale="85" zoomScaleNormal="85" workbookViewId="0"/>
  </sheetViews>
  <sheetFormatPr defaultColWidth="15.90625" defaultRowHeight="12.75" customHeight="1" x14ac:dyDescent="0.25"/>
  <cols>
    <col min="1" max="1" width="14.453125" customWidth="1"/>
    <col min="2" max="9" width="6.90625" customWidth="1"/>
    <col min="10" max="13" width="7.453125" customWidth="1"/>
    <col min="16367" max="16384" width="11.54296875" customWidth="1"/>
  </cols>
  <sheetData>
    <row r="1" spans="1:13" ht="14.2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8.75" customHeight="1" x14ac:dyDescent="0.4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35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4.25" customHeight="1" x14ac:dyDescent="0.3">
      <c r="A5" s="24" t="s">
        <v>6</v>
      </c>
      <c r="B5" s="25"/>
      <c r="C5" s="26"/>
      <c r="D5" s="27"/>
      <c r="E5" s="27"/>
      <c r="F5" s="25"/>
      <c r="G5" s="25"/>
      <c r="H5" s="28"/>
      <c r="I5" s="26"/>
      <c r="J5" s="27" t="s">
        <v>3</v>
      </c>
      <c r="K5" s="25">
        <v>0</v>
      </c>
      <c r="L5" s="29"/>
      <c r="M5" s="30"/>
    </row>
    <row r="6" spans="1:13" ht="14.25" customHeight="1" x14ac:dyDescent="0.3">
      <c r="A6" s="31">
        <f>Deckbl.!I11</f>
        <v>45944</v>
      </c>
      <c r="B6" s="9"/>
      <c r="C6" s="8"/>
      <c r="D6" s="8"/>
      <c r="E6" s="9"/>
      <c r="F6" s="9"/>
      <c r="G6" s="9"/>
      <c r="H6" s="9"/>
      <c r="I6" s="8"/>
      <c r="J6" s="12" t="s">
        <v>9</v>
      </c>
      <c r="K6" s="32" t="str">
        <f>Deckbl.!I12</f>
        <v>9-14 ° sonnig</v>
      </c>
      <c r="L6" s="33"/>
      <c r="M6" s="34"/>
    </row>
    <row r="7" spans="1:13" ht="14.25" customHeight="1" x14ac:dyDescent="0.3">
      <c r="A7" s="35"/>
      <c r="B7" s="12" t="s">
        <v>14</v>
      </c>
      <c r="C7" s="36" t="str">
        <f>Deckbl.!C8</f>
        <v>B122 / Badhaller Straße / Holznerweg (Bad Hall)</v>
      </c>
      <c r="D7" s="33"/>
      <c r="E7" s="37"/>
      <c r="F7" s="37"/>
      <c r="G7" s="37"/>
      <c r="H7" s="37"/>
      <c r="I7" s="38"/>
      <c r="J7" s="36"/>
      <c r="K7" s="37"/>
      <c r="L7" s="37"/>
      <c r="M7" s="39"/>
    </row>
    <row r="8" spans="1:13" ht="14.25" customHeight="1" x14ac:dyDescent="0.3">
      <c r="A8" s="35"/>
      <c r="B8" s="12" t="s">
        <v>15</v>
      </c>
      <c r="C8" s="33"/>
      <c r="D8" s="33"/>
      <c r="E8" s="37"/>
      <c r="F8" s="37"/>
      <c r="G8" s="37"/>
      <c r="H8" s="37"/>
      <c r="I8" s="38" t="s">
        <v>7</v>
      </c>
      <c r="J8" s="36" t="s">
        <v>16</v>
      </c>
      <c r="K8" s="40"/>
      <c r="L8" s="37"/>
      <c r="M8" s="39"/>
    </row>
    <row r="9" spans="1:13" ht="14.25" customHeight="1" x14ac:dyDescent="0.3">
      <c r="A9" s="35"/>
      <c r="B9" s="12" t="s">
        <v>17</v>
      </c>
      <c r="C9" s="41" t="s">
        <v>114</v>
      </c>
      <c r="D9" s="8"/>
      <c r="E9" s="9"/>
      <c r="F9" s="9"/>
      <c r="G9" s="9"/>
      <c r="H9" s="9"/>
      <c r="I9" s="12" t="s">
        <v>19</v>
      </c>
      <c r="J9" s="36" t="str">
        <f>Deckbl.!C11</f>
        <v>7-19 Uhr</v>
      </c>
      <c r="K9" s="37"/>
      <c r="L9" s="37"/>
      <c r="M9" s="39"/>
    </row>
    <row r="10" spans="1:13" ht="14.25" customHeight="1" x14ac:dyDescent="0.3">
      <c r="A10" s="35"/>
      <c r="B10" s="38" t="s">
        <v>20</v>
      </c>
      <c r="C10" s="42"/>
      <c r="D10" s="33"/>
      <c r="E10" s="37"/>
      <c r="F10" s="37"/>
      <c r="G10" s="37"/>
      <c r="H10" s="37"/>
      <c r="I10" s="38"/>
      <c r="J10" s="36"/>
      <c r="K10" s="37"/>
      <c r="L10" s="36"/>
      <c r="M10" s="39"/>
    </row>
    <row r="11" spans="1:13" ht="14.25" customHeight="1" x14ac:dyDescent="0.25">
      <c r="A11" s="43" t="s">
        <v>21</v>
      </c>
      <c r="B11" s="44">
        <v>0.3</v>
      </c>
      <c r="C11" s="44">
        <v>0.5</v>
      </c>
      <c r="D11" s="44">
        <v>1</v>
      </c>
      <c r="E11" s="44">
        <v>2</v>
      </c>
      <c r="F11" s="44">
        <v>2</v>
      </c>
      <c r="G11" s="44">
        <v>2</v>
      </c>
      <c r="H11" s="44">
        <v>3</v>
      </c>
      <c r="I11" s="44">
        <v>2</v>
      </c>
      <c r="J11" s="45"/>
      <c r="K11" s="45"/>
      <c r="L11" s="45"/>
      <c r="M11" s="45"/>
    </row>
    <row r="12" spans="1:13" ht="14.25" customHeight="1" x14ac:dyDescent="0.25">
      <c r="A12" s="46"/>
      <c r="B12" s="24"/>
      <c r="C12" s="47" t="s">
        <v>22</v>
      </c>
      <c r="D12" s="24" t="s">
        <v>23</v>
      </c>
      <c r="E12" s="47" t="s">
        <v>24</v>
      </c>
      <c r="F12" s="47" t="s">
        <v>25</v>
      </c>
      <c r="G12" s="24" t="s">
        <v>26</v>
      </c>
      <c r="H12" s="47" t="s">
        <v>27</v>
      </c>
      <c r="I12" s="47" t="s">
        <v>28</v>
      </c>
      <c r="J12" s="48" t="s">
        <v>29</v>
      </c>
      <c r="K12" s="48" t="s">
        <v>29</v>
      </c>
      <c r="L12" s="48" t="s">
        <v>29</v>
      </c>
      <c r="M12" s="48" t="s">
        <v>30</v>
      </c>
    </row>
    <row r="13" spans="1:13" ht="14.25" customHeight="1" x14ac:dyDescent="0.25">
      <c r="A13" s="49" t="s">
        <v>31</v>
      </c>
      <c r="B13" s="47" t="s">
        <v>32</v>
      </c>
      <c r="C13" s="47" t="s">
        <v>30</v>
      </c>
      <c r="D13" s="47" t="s">
        <v>33</v>
      </c>
      <c r="E13" s="47" t="s">
        <v>34</v>
      </c>
      <c r="F13" s="47" t="s">
        <v>34</v>
      </c>
      <c r="G13" s="47"/>
      <c r="H13" s="47" t="s">
        <v>35</v>
      </c>
      <c r="I13" s="47" t="s">
        <v>36</v>
      </c>
      <c r="J13" s="48" t="s">
        <v>37</v>
      </c>
      <c r="K13" s="48" t="s">
        <v>38</v>
      </c>
      <c r="L13" s="48" t="s">
        <v>39</v>
      </c>
      <c r="M13" s="48" t="s">
        <v>39</v>
      </c>
    </row>
    <row r="14" spans="1:13" ht="14.25" customHeight="1" x14ac:dyDescent="0.25">
      <c r="A14" s="50" t="s">
        <v>40</v>
      </c>
      <c r="B14" s="51"/>
      <c r="C14" s="51"/>
      <c r="D14" s="51"/>
      <c r="E14" s="51"/>
      <c r="F14" s="51"/>
      <c r="G14" s="51"/>
      <c r="H14" s="51"/>
      <c r="I14" s="51"/>
      <c r="J14" s="52">
        <f t="shared" ref="J14:J45" si="0">SUMPRODUCT(B14:I14,$B$11:$I$11)</f>
        <v>0</v>
      </c>
      <c r="K14" s="53"/>
      <c r="L14" s="53"/>
      <c r="M14" s="53"/>
    </row>
    <row r="15" spans="1:13" ht="14.25" customHeight="1" x14ac:dyDescent="0.25">
      <c r="A15" s="50" t="s">
        <v>41</v>
      </c>
      <c r="B15" s="51"/>
      <c r="C15" s="51"/>
      <c r="D15" s="51"/>
      <c r="E15" s="51"/>
      <c r="F15" s="51"/>
      <c r="G15" s="51"/>
      <c r="H15" s="51"/>
      <c r="I15" s="51"/>
      <c r="J15" s="52">
        <f t="shared" si="0"/>
        <v>0</v>
      </c>
      <c r="K15" s="54">
        <f>J15+J14</f>
        <v>0</v>
      </c>
      <c r="L15" s="55"/>
      <c r="M15" s="55"/>
    </row>
    <row r="16" spans="1:13" ht="14.25" customHeight="1" x14ac:dyDescent="0.25">
      <c r="A16" s="50" t="s">
        <v>42</v>
      </c>
      <c r="B16" s="51"/>
      <c r="C16" s="51"/>
      <c r="D16" s="51"/>
      <c r="E16" s="51"/>
      <c r="F16" s="51"/>
      <c r="G16" s="51"/>
      <c r="H16" s="51"/>
      <c r="I16" s="51"/>
      <c r="J16" s="52">
        <f t="shared" si="0"/>
        <v>0</v>
      </c>
      <c r="K16" s="53"/>
      <c r="L16" s="54"/>
      <c r="M16" s="54"/>
    </row>
    <row r="17" spans="1:13" ht="14.25" customHeight="1" x14ac:dyDescent="0.25">
      <c r="A17" s="50" t="s">
        <v>43</v>
      </c>
      <c r="B17" s="51"/>
      <c r="C17" s="51"/>
      <c r="D17" s="51"/>
      <c r="E17" s="51"/>
      <c r="F17" s="51"/>
      <c r="G17" s="51"/>
      <c r="H17" s="51"/>
      <c r="I17" s="51"/>
      <c r="J17" s="52">
        <f t="shared" si="0"/>
        <v>0</v>
      </c>
      <c r="K17" s="54">
        <f>J17+J16</f>
        <v>0</v>
      </c>
      <c r="L17" s="54">
        <f>SUM(J14:J17)</f>
        <v>0</v>
      </c>
      <c r="M17" s="54">
        <f>SUM(C14:I17)</f>
        <v>0</v>
      </c>
    </row>
    <row r="18" spans="1:13" ht="14.25" customHeight="1" x14ac:dyDescent="0.25">
      <c r="A18" s="50" t="s">
        <v>44</v>
      </c>
      <c r="B18" s="51"/>
      <c r="C18" s="51"/>
      <c r="D18" s="51"/>
      <c r="E18" s="51"/>
      <c r="F18" s="51"/>
      <c r="G18" s="51"/>
      <c r="H18" s="51"/>
      <c r="I18" s="51"/>
      <c r="J18" s="52">
        <f t="shared" si="0"/>
        <v>0</v>
      </c>
      <c r="K18" s="53"/>
      <c r="L18" s="53"/>
      <c r="M18" s="53"/>
    </row>
    <row r="19" spans="1:13" ht="14.25" customHeight="1" x14ac:dyDescent="0.25">
      <c r="A19" s="50" t="s">
        <v>45</v>
      </c>
      <c r="B19" s="51"/>
      <c r="C19" s="51"/>
      <c r="D19" s="51"/>
      <c r="E19" s="51"/>
      <c r="F19" s="51"/>
      <c r="G19" s="51"/>
      <c r="H19" s="51"/>
      <c r="I19" s="51"/>
      <c r="J19" s="52">
        <f t="shared" si="0"/>
        <v>0</v>
      </c>
      <c r="K19" s="54">
        <f>J19+J18</f>
        <v>0</v>
      </c>
      <c r="L19" s="55"/>
      <c r="M19" s="55"/>
    </row>
    <row r="20" spans="1:13" ht="14.25" customHeight="1" x14ac:dyDescent="0.25">
      <c r="A20" s="50" t="s">
        <v>46</v>
      </c>
      <c r="B20" s="51"/>
      <c r="C20" s="51"/>
      <c r="D20" s="51"/>
      <c r="E20" s="51"/>
      <c r="F20" s="51"/>
      <c r="G20" s="51"/>
      <c r="H20" s="51"/>
      <c r="I20" s="51"/>
      <c r="J20" s="52">
        <f t="shared" si="0"/>
        <v>0</v>
      </c>
      <c r="K20" s="53"/>
      <c r="L20" s="54"/>
      <c r="M20" s="54"/>
    </row>
    <row r="21" spans="1:13" ht="14.25" customHeight="1" x14ac:dyDescent="0.25">
      <c r="A21" s="50" t="s">
        <v>47</v>
      </c>
      <c r="B21" s="51"/>
      <c r="C21" s="51"/>
      <c r="D21" s="51"/>
      <c r="E21" s="51"/>
      <c r="F21" s="51"/>
      <c r="G21" s="51"/>
      <c r="H21" s="51"/>
      <c r="I21" s="51"/>
      <c r="J21" s="52">
        <f t="shared" si="0"/>
        <v>0</v>
      </c>
      <c r="K21" s="54">
        <f>J21+J20</f>
        <v>0</v>
      </c>
      <c r="L21" s="54">
        <f>SUM(J18:J21)</f>
        <v>0</v>
      </c>
      <c r="M21" s="54">
        <f>SUM(C18:I21)</f>
        <v>0</v>
      </c>
    </row>
    <row r="22" spans="1:13" ht="14.25" customHeight="1" x14ac:dyDescent="0.25">
      <c r="A22" s="50" t="s">
        <v>48</v>
      </c>
      <c r="B22" s="56">
        <v>0</v>
      </c>
      <c r="C22" s="56">
        <v>0</v>
      </c>
      <c r="D22" s="56">
        <v>2</v>
      </c>
      <c r="E22" s="56">
        <v>0</v>
      </c>
      <c r="F22" s="56">
        <v>0</v>
      </c>
      <c r="G22" s="56">
        <v>1</v>
      </c>
      <c r="H22" s="56">
        <v>0</v>
      </c>
      <c r="I22" s="56">
        <v>0</v>
      </c>
      <c r="J22" s="52">
        <f t="shared" si="0"/>
        <v>4</v>
      </c>
      <c r="K22" s="53"/>
      <c r="L22" s="53"/>
      <c r="M22" s="53"/>
    </row>
    <row r="23" spans="1:13" ht="14.25" customHeight="1" x14ac:dyDescent="0.25">
      <c r="A23" s="50" t="s">
        <v>49</v>
      </c>
      <c r="B23" s="56">
        <v>0</v>
      </c>
      <c r="C23" s="56">
        <v>0</v>
      </c>
      <c r="D23" s="56">
        <v>5</v>
      </c>
      <c r="E23" s="56">
        <v>0</v>
      </c>
      <c r="F23" s="56">
        <v>0</v>
      </c>
      <c r="G23" s="56">
        <v>0</v>
      </c>
      <c r="H23" s="56">
        <v>0</v>
      </c>
      <c r="I23" s="56">
        <v>0</v>
      </c>
      <c r="J23" s="52">
        <f t="shared" si="0"/>
        <v>5</v>
      </c>
      <c r="K23" s="54">
        <f>J23+J22</f>
        <v>9</v>
      </c>
      <c r="L23" s="55"/>
      <c r="M23" s="55"/>
    </row>
    <row r="24" spans="1:13" ht="14.25" customHeight="1" x14ac:dyDescent="0.25">
      <c r="A24" s="50" t="s">
        <v>50</v>
      </c>
      <c r="B24" s="56">
        <v>0</v>
      </c>
      <c r="C24" s="56">
        <v>0</v>
      </c>
      <c r="D24" s="56">
        <v>5</v>
      </c>
      <c r="E24" s="56">
        <v>0</v>
      </c>
      <c r="F24" s="56">
        <v>0</v>
      </c>
      <c r="G24" s="56">
        <v>0</v>
      </c>
      <c r="H24" s="56">
        <v>0</v>
      </c>
      <c r="I24" s="56">
        <v>0</v>
      </c>
      <c r="J24" s="52">
        <f t="shared" si="0"/>
        <v>5</v>
      </c>
      <c r="K24" s="53"/>
      <c r="L24" s="54"/>
      <c r="M24" s="54"/>
    </row>
    <row r="25" spans="1:13" ht="14.25" customHeight="1" x14ac:dyDescent="0.25">
      <c r="A25" s="50" t="s">
        <v>51</v>
      </c>
      <c r="B25" s="56">
        <v>0</v>
      </c>
      <c r="C25" s="56">
        <v>0</v>
      </c>
      <c r="D25" s="56">
        <v>7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2">
        <f t="shared" si="0"/>
        <v>7</v>
      </c>
      <c r="K25" s="54">
        <f>J25+J24</f>
        <v>12</v>
      </c>
      <c r="L25" s="54">
        <f>SUM(J22:J25)</f>
        <v>21</v>
      </c>
      <c r="M25" s="54">
        <f>SUM(C22:I25)</f>
        <v>20</v>
      </c>
    </row>
    <row r="26" spans="1:13" ht="14.25" customHeight="1" x14ac:dyDescent="0.25">
      <c r="A26" s="50" t="s">
        <v>52</v>
      </c>
      <c r="B26" s="56">
        <v>0</v>
      </c>
      <c r="C26" s="56">
        <v>0</v>
      </c>
      <c r="D26" s="56">
        <v>8</v>
      </c>
      <c r="E26" s="56">
        <v>0</v>
      </c>
      <c r="F26" s="56">
        <v>0</v>
      </c>
      <c r="G26" s="56">
        <v>0</v>
      </c>
      <c r="H26" s="56">
        <v>0</v>
      </c>
      <c r="I26" s="56">
        <v>0</v>
      </c>
      <c r="J26" s="52">
        <f t="shared" si="0"/>
        <v>8</v>
      </c>
      <c r="K26" s="53"/>
      <c r="L26" s="53"/>
      <c r="M26" s="53"/>
    </row>
    <row r="27" spans="1:13" ht="14.25" customHeight="1" x14ac:dyDescent="0.25">
      <c r="A27" s="50" t="s">
        <v>53</v>
      </c>
      <c r="B27" s="56">
        <v>0</v>
      </c>
      <c r="C27" s="56">
        <v>0</v>
      </c>
      <c r="D27" s="56">
        <v>7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52">
        <f t="shared" si="0"/>
        <v>7</v>
      </c>
      <c r="K27" s="54">
        <f>J27+J26</f>
        <v>15</v>
      </c>
      <c r="L27" s="55"/>
      <c r="M27" s="55"/>
    </row>
    <row r="28" spans="1:13" ht="14.25" customHeight="1" x14ac:dyDescent="0.25">
      <c r="A28" s="50" t="s">
        <v>54</v>
      </c>
      <c r="B28" s="56">
        <v>0</v>
      </c>
      <c r="C28" s="56">
        <v>0</v>
      </c>
      <c r="D28" s="56">
        <v>9</v>
      </c>
      <c r="E28" s="56">
        <v>0</v>
      </c>
      <c r="F28" s="56">
        <v>0</v>
      </c>
      <c r="G28" s="56">
        <v>0</v>
      </c>
      <c r="H28" s="56">
        <v>0</v>
      </c>
      <c r="I28" s="56">
        <v>0</v>
      </c>
      <c r="J28" s="52">
        <f t="shared" si="0"/>
        <v>9</v>
      </c>
      <c r="K28" s="53"/>
      <c r="L28" s="54"/>
      <c r="M28" s="54"/>
    </row>
    <row r="29" spans="1:13" ht="14.25" customHeight="1" x14ac:dyDescent="0.25">
      <c r="A29" s="50" t="s">
        <v>55</v>
      </c>
      <c r="B29" s="56">
        <v>0</v>
      </c>
      <c r="C29" s="56">
        <v>0</v>
      </c>
      <c r="D29" s="56">
        <v>14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52">
        <f t="shared" si="0"/>
        <v>14</v>
      </c>
      <c r="K29" s="54">
        <f>J29+J28</f>
        <v>23</v>
      </c>
      <c r="L29" s="54">
        <f>SUM(J26:J29)</f>
        <v>38</v>
      </c>
      <c r="M29" s="54">
        <f>SUM(C26:I29)</f>
        <v>38</v>
      </c>
    </row>
    <row r="30" spans="1:13" ht="14.25" customHeight="1" x14ac:dyDescent="0.25">
      <c r="A30" s="50" t="s">
        <v>56</v>
      </c>
      <c r="B30" s="56">
        <v>0</v>
      </c>
      <c r="C30" s="56">
        <v>0</v>
      </c>
      <c r="D30" s="56">
        <v>10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2">
        <f t="shared" si="0"/>
        <v>10</v>
      </c>
      <c r="K30" s="53"/>
      <c r="L30" s="53"/>
      <c r="M30" s="53"/>
    </row>
    <row r="31" spans="1:13" ht="14.25" customHeight="1" x14ac:dyDescent="0.25">
      <c r="A31" s="50" t="s">
        <v>57</v>
      </c>
      <c r="B31" s="56">
        <v>0</v>
      </c>
      <c r="C31" s="56">
        <v>0</v>
      </c>
      <c r="D31" s="56">
        <v>18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2">
        <f t="shared" si="0"/>
        <v>18</v>
      </c>
      <c r="K31" s="54">
        <f>J31+J30</f>
        <v>28</v>
      </c>
      <c r="L31" s="55"/>
      <c r="M31" s="55"/>
    </row>
    <row r="32" spans="1:13" ht="14.25" customHeight="1" x14ac:dyDescent="0.25">
      <c r="A32" s="50" t="s">
        <v>58</v>
      </c>
      <c r="B32" s="56">
        <v>1</v>
      </c>
      <c r="C32" s="56">
        <v>0</v>
      </c>
      <c r="D32" s="56">
        <v>11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2">
        <f t="shared" si="0"/>
        <v>11.3</v>
      </c>
      <c r="K32" s="53"/>
      <c r="L32" s="54"/>
      <c r="M32" s="54"/>
    </row>
    <row r="33" spans="1:13" ht="14.25" customHeight="1" x14ac:dyDescent="0.25">
      <c r="A33" s="50" t="s">
        <v>59</v>
      </c>
      <c r="B33" s="56">
        <v>0</v>
      </c>
      <c r="C33" s="56">
        <v>0</v>
      </c>
      <c r="D33" s="56">
        <v>12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2">
        <f t="shared" si="0"/>
        <v>12</v>
      </c>
      <c r="K33" s="54">
        <f>J33+J32</f>
        <v>23.3</v>
      </c>
      <c r="L33" s="54">
        <f>SUM(J30:J33)</f>
        <v>51.3</v>
      </c>
      <c r="M33" s="54">
        <f>SUM(C30:I33)</f>
        <v>51</v>
      </c>
    </row>
    <row r="34" spans="1:13" ht="14.25" customHeight="1" x14ac:dyDescent="0.25">
      <c r="A34" s="50" t="s">
        <v>60</v>
      </c>
      <c r="B34" s="56">
        <v>0</v>
      </c>
      <c r="C34" s="56">
        <v>0</v>
      </c>
      <c r="D34" s="56">
        <v>19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2">
        <f t="shared" si="0"/>
        <v>19</v>
      </c>
      <c r="K34" s="53"/>
      <c r="L34" s="53"/>
      <c r="M34" s="53"/>
    </row>
    <row r="35" spans="1:13" ht="14.25" customHeight="1" x14ac:dyDescent="0.25">
      <c r="A35" s="50" t="s">
        <v>61</v>
      </c>
      <c r="B35" s="56">
        <v>0</v>
      </c>
      <c r="C35" s="56">
        <v>0</v>
      </c>
      <c r="D35" s="56">
        <v>14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2">
        <f t="shared" si="0"/>
        <v>14</v>
      </c>
      <c r="K35" s="54">
        <f>J35+J34</f>
        <v>33</v>
      </c>
      <c r="L35" s="55"/>
      <c r="M35" s="55"/>
    </row>
    <row r="36" spans="1:13" ht="14.25" customHeight="1" x14ac:dyDescent="0.25">
      <c r="A36" s="50" t="s">
        <v>62</v>
      </c>
      <c r="B36" s="56">
        <v>0</v>
      </c>
      <c r="C36" s="56">
        <v>0</v>
      </c>
      <c r="D36" s="56">
        <v>8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2">
        <f t="shared" si="0"/>
        <v>8</v>
      </c>
      <c r="K36" s="53"/>
      <c r="L36" s="54"/>
      <c r="M36" s="54"/>
    </row>
    <row r="37" spans="1:13" ht="14.25" customHeight="1" x14ac:dyDescent="0.25">
      <c r="A37" s="50" t="s">
        <v>63</v>
      </c>
      <c r="B37" s="56">
        <v>0</v>
      </c>
      <c r="C37" s="56">
        <v>0</v>
      </c>
      <c r="D37" s="56">
        <v>15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2">
        <f t="shared" si="0"/>
        <v>15</v>
      </c>
      <c r="K37" s="54">
        <f>J37+J36</f>
        <v>23</v>
      </c>
      <c r="L37" s="54">
        <f>SUM(J34:J37)</f>
        <v>56</v>
      </c>
      <c r="M37" s="54">
        <f>SUM(C34:I37)</f>
        <v>56</v>
      </c>
    </row>
    <row r="38" spans="1:13" ht="14.25" customHeight="1" x14ac:dyDescent="0.25">
      <c r="A38" s="50" t="s">
        <v>64</v>
      </c>
      <c r="B38" s="56">
        <v>0</v>
      </c>
      <c r="C38" s="56">
        <v>0</v>
      </c>
      <c r="D38" s="56">
        <v>10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2">
        <f t="shared" si="0"/>
        <v>10</v>
      </c>
      <c r="K38" s="53"/>
      <c r="L38" s="53"/>
      <c r="M38" s="53"/>
    </row>
    <row r="39" spans="1:13" ht="14.25" customHeight="1" x14ac:dyDescent="0.25">
      <c r="A39" s="50" t="s">
        <v>65</v>
      </c>
      <c r="B39" s="56">
        <v>0</v>
      </c>
      <c r="C39" s="56">
        <v>0</v>
      </c>
      <c r="D39" s="56">
        <v>17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2">
        <f t="shared" si="0"/>
        <v>17</v>
      </c>
      <c r="K39" s="54">
        <f>J39+J38</f>
        <v>27</v>
      </c>
      <c r="L39" s="55"/>
      <c r="M39" s="55"/>
    </row>
    <row r="40" spans="1:13" ht="14.25" customHeight="1" x14ac:dyDescent="0.25">
      <c r="A40" s="50" t="s">
        <v>66</v>
      </c>
      <c r="B40" s="56">
        <v>0</v>
      </c>
      <c r="C40" s="56">
        <v>0</v>
      </c>
      <c r="D40" s="56">
        <v>8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2">
        <f t="shared" si="0"/>
        <v>8</v>
      </c>
      <c r="K40" s="53"/>
      <c r="L40" s="54"/>
      <c r="M40" s="54"/>
    </row>
    <row r="41" spans="1:13" ht="14.25" customHeight="1" x14ac:dyDescent="0.25">
      <c r="A41" s="50" t="s">
        <v>67</v>
      </c>
      <c r="B41" s="56">
        <v>0</v>
      </c>
      <c r="C41" s="56">
        <v>0</v>
      </c>
      <c r="D41" s="56">
        <v>14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2">
        <f t="shared" si="0"/>
        <v>14</v>
      </c>
      <c r="K41" s="54">
        <f>J41+J40</f>
        <v>22</v>
      </c>
      <c r="L41" s="54">
        <f>SUM(J38:J41)</f>
        <v>49</v>
      </c>
      <c r="M41" s="54">
        <f>SUM(C38:I41)</f>
        <v>49</v>
      </c>
    </row>
    <row r="42" spans="1:13" ht="14.25" customHeight="1" x14ac:dyDescent="0.25">
      <c r="A42" s="50" t="s">
        <v>68</v>
      </c>
      <c r="B42" s="56">
        <v>0</v>
      </c>
      <c r="C42" s="56">
        <v>0</v>
      </c>
      <c r="D42" s="56">
        <v>9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2">
        <f t="shared" si="0"/>
        <v>9</v>
      </c>
      <c r="K42" s="53"/>
      <c r="L42" s="53"/>
      <c r="M42" s="53"/>
    </row>
    <row r="43" spans="1:13" ht="14.25" customHeight="1" x14ac:dyDescent="0.25">
      <c r="A43" s="50" t="s">
        <v>69</v>
      </c>
      <c r="B43" s="56">
        <v>0</v>
      </c>
      <c r="C43" s="56">
        <v>0</v>
      </c>
      <c r="D43" s="56">
        <v>13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2">
        <f t="shared" si="0"/>
        <v>13</v>
      </c>
      <c r="K43" s="54">
        <f>J43+J42</f>
        <v>22</v>
      </c>
      <c r="L43" s="55"/>
      <c r="M43" s="55"/>
    </row>
    <row r="44" spans="1:13" ht="14.25" customHeight="1" x14ac:dyDescent="0.25">
      <c r="A44" s="50" t="s">
        <v>70</v>
      </c>
      <c r="B44" s="56">
        <v>0</v>
      </c>
      <c r="C44" s="56">
        <v>0</v>
      </c>
      <c r="D44" s="56">
        <v>8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2">
        <f t="shared" si="0"/>
        <v>8</v>
      </c>
      <c r="K44" s="53"/>
      <c r="L44" s="54"/>
      <c r="M44" s="54"/>
    </row>
    <row r="45" spans="1:13" ht="14.25" customHeight="1" x14ac:dyDescent="0.25">
      <c r="A45" s="50" t="s">
        <v>71</v>
      </c>
      <c r="B45" s="56">
        <v>0</v>
      </c>
      <c r="C45" s="56">
        <v>0</v>
      </c>
      <c r="D45" s="56">
        <v>8</v>
      </c>
      <c r="E45" s="56">
        <v>0</v>
      </c>
      <c r="F45" s="56">
        <v>0</v>
      </c>
      <c r="G45" s="56">
        <v>1</v>
      </c>
      <c r="H45" s="56">
        <v>0</v>
      </c>
      <c r="I45" s="56">
        <v>0</v>
      </c>
      <c r="J45" s="52">
        <f t="shared" si="0"/>
        <v>10</v>
      </c>
      <c r="K45" s="54">
        <f>J45+J44</f>
        <v>18</v>
      </c>
      <c r="L45" s="54">
        <f>SUM(J42:J45)</f>
        <v>40</v>
      </c>
      <c r="M45" s="54">
        <f>SUM(C42:I45)</f>
        <v>39</v>
      </c>
    </row>
    <row r="46" spans="1:13" ht="14.25" customHeight="1" x14ac:dyDescent="0.25">
      <c r="A46" s="50" t="s">
        <v>72</v>
      </c>
      <c r="B46" s="56">
        <v>0</v>
      </c>
      <c r="C46" s="56">
        <v>0</v>
      </c>
      <c r="D46" s="56">
        <v>7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2">
        <f t="shared" ref="J46:J77" si="1">SUMPRODUCT(B46:I46,$B$11:$I$11)</f>
        <v>7</v>
      </c>
      <c r="K46" s="53"/>
      <c r="L46" s="53"/>
      <c r="M46" s="53"/>
    </row>
    <row r="47" spans="1:13" ht="14.25" customHeight="1" x14ac:dyDescent="0.25">
      <c r="A47" s="50" t="s">
        <v>73</v>
      </c>
      <c r="B47" s="56">
        <v>0</v>
      </c>
      <c r="C47" s="56">
        <v>0</v>
      </c>
      <c r="D47" s="56">
        <v>9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2">
        <f t="shared" si="1"/>
        <v>9</v>
      </c>
      <c r="K47" s="54">
        <f>J47+J46</f>
        <v>16</v>
      </c>
      <c r="L47" s="55"/>
      <c r="M47" s="55"/>
    </row>
    <row r="48" spans="1:13" ht="14.25" customHeight="1" x14ac:dyDescent="0.25">
      <c r="A48" s="50" t="s">
        <v>74</v>
      </c>
      <c r="B48" s="56">
        <v>1</v>
      </c>
      <c r="C48" s="56">
        <v>0</v>
      </c>
      <c r="D48" s="56">
        <v>9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2">
        <f t="shared" si="1"/>
        <v>9.3000000000000007</v>
      </c>
      <c r="K48" s="53"/>
      <c r="L48" s="54"/>
      <c r="M48" s="54"/>
    </row>
    <row r="49" spans="1:13" ht="14.25" customHeight="1" x14ac:dyDescent="0.25">
      <c r="A49" s="50" t="s">
        <v>75</v>
      </c>
      <c r="B49" s="56">
        <v>0</v>
      </c>
      <c r="C49" s="56">
        <v>0</v>
      </c>
      <c r="D49" s="56">
        <v>5</v>
      </c>
      <c r="E49" s="56">
        <v>0</v>
      </c>
      <c r="F49" s="56">
        <v>0</v>
      </c>
      <c r="G49" s="56">
        <v>1</v>
      </c>
      <c r="H49" s="56">
        <v>0</v>
      </c>
      <c r="I49" s="56">
        <v>0</v>
      </c>
      <c r="J49" s="52">
        <f t="shared" si="1"/>
        <v>7</v>
      </c>
      <c r="K49" s="54">
        <f>J49+J48</f>
        <v>16.3</v>
      </c>
      <c r="L49" s="54">
        <f>SUM(J46:J49)</f>
        <v>32.299999999999997</v>
      </c>
      <c r="M49" s="54">
        <f>SUM(C46:I49)</f>
        <v>31</v>
      </c>
    </row>
    <row r="50" spans="1:13" ht="14.25" customHeight="1" x14ac:dyDescent="0.25">
      <c r="A50" s="50" t="s">
        <v>76</v>
      </c>
      <c r="B50" s="56">
        <v>0</v>
      </c>
      <c r="C50" s="56">
        <v>0</v>
      </c>
      <c r="D50" s="56">
        <v>9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2">
        <f t="shared" si="1"/>
        <v>9</v>
      </c>
      <c r="K50" s="53"/>
      <c r="L50" s="53"/>
      <c r="M50" s="53"/>
    </row>
    <row r="51" spans="1:13" ht="14.25" customHeight="1" x14ac:dyDescent="0.25">
      <c r="A51" s="50" t="s">
        <v>77</v>
      </c>
      <c r="B51" s="56">
        <v>0</v>
      </c>
      <c r="C51" s="56">
        <v>0</v>
      </c>
      <c r="D51" s="56">
        <v>16</v>
      </c>
      <c r="E51" s="56">
        <v>0</v>
      </c>
      <c r="F51" s="56">
        <v>0</v>
      </c>
      <c r="G51" s="56">
        <v>0</v>
      </c>
      <c r="H51" s="56">
        <v>0</v>
      </c>
      <c r="I51" s="56">
        <v>0</v>
      </c>
      <c r="J51" s="52">
        <f t="shared" si="1"/>
        <v>16</v>
      </c>
      <c r="K51" s="54">
        <f>J51+J50</f>
        <v>25</v>
      </c>
      <c r="L51" s="55"/>
      <c r="M51" s="55"/>
    </row>
    <row r="52" spans="1:13" ht="14.25" customHeight="1" x14ac:dyDescent="0.25">
      <c r="A52" s="50" t="s">
        <v>78</v>
      </c>
      <c r="B52" s="56">
        <v>0</v>
      </c>
      <c r="C52" s="56">
        <v>0</v>
      </c>
      <c r="D52" s="56">
        <v>6</v>
      </c>
      <c r="E52" s="56">
        <v>0</v>
      </c>
      <c r="F52" s="56">
        <v>0</v>
      </c>
      <c r="G52" s="56">
        <v>1</v>
      </c>
      <c r="H52" s="56">
        <v>0</v>
      </c>
      <c r="I52" s="56">
        <v>0</v>
      </c>
      <c r="J52" s="52">
        <f t="shared" si="1"/>
        <v>8</v>
      </c>
      <c r="K52" s="53"/>
      <c r="L52" s="54"/>
      <c r="M52" s="54"/>
    </row>
    <row r="53" spans="1:13" ht="14.25" customHeight="1" x14ac:dyDescent="0.25">
      <c r="A53" s="50" t="s">
        <v>79</v>
      </c>
      <c r="B53" s="56">
        <v>0</v>
      </c>
      <c r="C53" s="56">
        <v>0</v>
      </c>
      <c r="D53" s="56">
        <v>16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2">
        <f t="shared" si="1"/>
        <v>16</v>
      </c>
      <c r="K53" s="54">
        <f>J53+J52</f>
        <v>24</v>
      </c>
      <c r="L53" s="54">
        <f>SUM(J50:J53)</f>
        <v>49</v>
      </c>
      <c r="M53" s="54">
        <f>SUM(C50:I53)</f>
        <v>48</v>
      </c>
    </row>
    <row r="54" spans="1:13" ht="14.25" customHeight="1" x14ac:dyDescent="0.25">
      <c r="A54" s="50" t="s">
        <v>80</v>
      </c>
      <c r="B54" s="56">
        <v>0</v>
      </c>
      <c r="C54" s="56">
        <v>0</v>
      </c>
      <c r="D54" s="56">
        <v>19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2">
        <f t="shared" si="1"/>
        <v>19</v>
      </c>
      <c r="K54" s="53"/>
      <c r="L54" s="53"/>
      <c r="M54" s="53"/>
    </row>
    <row r="55" spans="1:13" ht="14.25" customHeight="1" x14ac:dyDescent="0.25">
      <c r="A55" s="50" t="s">
        <v>81</v>
      </c>
      <c r="B55" s="56">
        <v>0</v>
      </c>
      <c r="C55" s="56">
        <v>0</v>
      </c>
      <c r="D55" s="56">
        <v>14</v>
      </c>
      <c r="E55" s="56">
        <v>0</v>
      </c>
      <c r="F55" s="56">
        <v>0</v>
      </c>
      <c r="G55" s="56">
        <v>0</v>
      </c>
      <c r="H55" s="56">
        <v>0</v>
      </c>
      <c r="I55" s="56">
        <v>0</v>
      </c>
      <c r="J55" s="52">
        <f t="shared" si="1"/>
        <v>14</v>
      </c>
      <c r="K55" s="54">
        <f>J55+J54</f>
        <v>33</v>
      </c>
      <c r="L55" s="55"/>
      <c r="M55" s="55"/>
    </row>
    <row r="56" spans="1:13" ht="14.25" customHeight="1" x14ac:dyDescent="0.25">
      <c r="A56" s="50" t="s">
        <v>82</v>
      </c>
      <c r="B56" s="56">
        <v>0</v>
      </c>
      <c r="C56" s="56">
        <v>0</v>
      </c>
      <c r="D56" s="56">
        <v>14</v>
      </c>
      <c r="E56" s="56">
        <v>0</v>
      </c>
      <c r="F56" s="56">
        <v>0</v>
      </c>
      <c r="G56" s="56">
        <v>0</v>
      </c>
      <c r="H56" s="56">
        <v>0</v>
      </c>
      <c r="I56" s="56">
        <v>0</v>
      </c>
      <c r="J56" s="52">
        <f t="shared" si="1"/>
        <v>14</v>
      </c>
      <c r="K56" s="53"/>
      <c r="L56" s="54"/>
      <c r="M56" s="54"/>
    </row>
    <row r="57" spans="1:13" ht="14.25" customHeight="1" x14ac:dyDescent="0.25">
      <c r="A57" s="50" t="s">
        <v>83</v>
      </c>
      <c r="B57" s="56">
        <v>0</v>
      </c>
      <c r="C57" s="56">
        <v>0</v>
      </c>
      <c r="D57" s="56">
        <v>16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2">
        <f t="shared" si="1"/>
        <v>16</v>
      </c>
      <c r="K57" s="57">
        <f>J57+J56</f>
        <v>30</v>
      </c>
      <c r="L57" s="54">
        <f>SUM(J54:J57)</f>
        <v>63</v>
      </c>
      <c r="M57" s="54">
        <f>SUM(C54:I57)</f>
        <v>63</v>
      </c>
    </row>
    <row r="58" spans="1:13" ht="14.25" customHeight="1" x14ac:dyDescent="0.25">
      <c r="A58" s="50" t="s">
        <v>84</v>
      </c>
      <c r="B58" s="56">
        <v>0</v>
      </c>
      <c r="C58" s="56">
        <v>0</v>
      </c>
      <c r="D58" s="56">
        <v>12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2">
        <f t="shared" si="1"/>
        <v>12</v>
      </c>
      <c r="K58" s="53"/>
      <c r="L58" s="53"/>
      <c r="M58" s="53"/>
    </row>
    <row r="59" spans="1:13" ht="14.25" customHeight="1" x14ac:dyDescent="0.25">
      <c r="A59" s="50" t="s">
        <v>85</v>
      </c>
      <c r="B59" s="56">
        <v>0</v>
      </c>
      <c r="C59" s="56">
        <v>0</v>
      </c>
      <c r="D59" s="56">
        <v>12</v>
      </c>
      <c r="E59" s="56">
        <v>0</v>
      </c>
      <c r="F59" s="56">
        <v>0</v>
      </c>
      <c r="G59" s="56">
        <v>0</v>
      </c>
      <c r="H59" s="56">
        <v>0</v>
      </c>
      <c r="I59" s="56">
        <v>0</v>
      </c>
      <c r="J59" s="52">
        <f t="shared" si="1"/>
        <v>12</v>
      </c>
      <c r="K59" s="54">
        <f>J59+J58</f>
        <v>24</v>
      </c>
      <c r="L59" s="55"/>
      <c r="M59" s="55"/>
    </row>
    <row r="60" spans="1:13" ht="14.25" customHeight="1" x14ac:dyDescent="0.25">
      <c r="A60" s="50" t="s">
        <v>86</v>
      </c>
      <c r="B60" s="56">
        <v>0</v>
      </c>
      <c r="C60" s="56">
        <v>1</v>
      </c>
      <c r="D60" s="56">
        <v>15</v>
      </c>
      <c r="E60" s="56">
        <v>0</v>
      </c>
      <c r="F60" s="56">
        <v>0</v>
      </c>
      <c r="G60" s="56">
        <v>0</v>
      </c>
      <c r="H60" s="56">
        <v>0</v>
      </c>
      <c r="I60" s="56">
        <v>0</v>
      </c>
      <c r="J60" s="52">
        <f t="shared" si="1"/>
        <v>15.5</v>
      </c>
      <c r="K60" s="53"/>
      <c r="L60" s="54"/>
      <c r="M60" s="54"/>
    </row>
    <row r="61" spans="1:13" ht="14.25" customHeight="1" x14ac:dyDescent="0.25">
      <c r="A61" s="50" t="s">
        <v>87</v>
      </c>
      <c r="B61" s="56">
        <v>0</v>
      </c>
      <c r="C61" s="56">
        <v>0</v>
      </c>
      <c r="D61" s="56">
        <v>22</v>
      </c>
      <c r="E61" s="56">
        <v>0</v>
      </c>
      <c r="F61" s="56">
        <v>0</v>
      </c>
      <c r="G61" s="56">
        <v>0</v>
      </c>
      <c r="H61" s="56">
        <v>0</v>
      </c>
      <c r="I61" s="56">
        <v>0</v>
      </c>
      <c r="J61" s="52">
        <f t="shared" si="1"/>
        <v>22</v>
      </c>
      <c r="K61" s="54">
        <f>J61+J60</f>
        <v>37.5</v>
      </c>
      <c r="L61" s="54">
        <f>SUM(J58:J61)</f>
        <v>61.5</v>
      </c>
      <c r="M61" s="54">
        <f>SUM(C58:I61)</f>
        <v>62</v>
      </c>
    </row>
    <row r="62" spans="1:13" ht="14.25" customHeight="1" x14ac:dyDescent="0.25">
      <c r="A62" s="50" t="s">
        <v>88</v>
      </c>
      <c r="B62" s="56">
        <v>0</v>
      </c>
      <c r="C62" s="56">
        <v>1</v>
      </c>
      <c r="D62" s="56">
        <v>17</v>
      </c>
      <c r="E62" s="56">
        <v>0</v>
      </c>
      <c r="F62" s="56">
        <v>0</v>
      </c>
      <c r="G62" s="56">
        <v>0</v>
      </c>
      <c r="H62" s="56">
        <v>0</v>
      </c>
      <c r="I62" s="56">
        <v>0</v>
      </c>
      <c r="J62" s="52">
        <f t="shared" si="1"/>
        <v>17.5</v>
      </c>
      <c r="K62" s="53"/>
      <c r="L62" s="53"/>
      <c r="M62" s="53"/>
    </row>
    <row r="63" spans="1:13" ht="14.25" customHeight="1" x14ac:dyDescent="0.25">
      <c r="A63" s="50" t="s">
        <v>89</v>
      </c>
      <c r="B63" s="56">
        <v>0</v>
      </c>
      <c r="C63" s="56">
        <v>1</v>
      </c>
      <c r="D63" s="56">
        <v>20</v>
      </c>
      <c r="E63" s="56">
        <v>0</v>
      </c>
      <c r="F63" s="56">
        <v>0</v>
      </c>
      <c r="G63" s="56">
        <v>0</v>
      </c>
      <c r="H63" s="56">
        <v>0</v>
      </c>
      <c r="I63" s="56">
        <v>0</v>
      </c>
      <c r="J63" s="52">
        <f t="shared" si="1"/>
        <v>20.5</v>
      </c>
      <c r="K63" s="54">
        <f>J63+J62</f>
        <v>38</v>
      </c>
      <c r="L63" s="55"/>
      <c r="M63" s="55"/>
    </row>
    <row r="64" spans="1:13" ht="14.25" customHeight="1" x14ac:dyDescent="0.25">
      <c r="A64" s="50" t="s">
        <v>90</v>
      </c>
      <c r="B64" s="56">
        <v>0</v>
      </c>
      <c r="C64" s="56">
        <v>0</v>
      </c>
      <c r="D64" s="56">
        <v>15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2">
        <f t="shared" si="1"/>
        <v>15</v>
      </c>
      <c r="K64" s="53"/>
      <c r="L64" s="54"/>
      <c r="M64" s="54"/>
    </row>
    <row r="65" spans="1:13" ht="14.25" customHeight="1" x14ac:dyDescent="0.25">
      <c r="A65" s="50" t="s">
        <v>91</v>
      </c>
      <c r="B65" s="56">
        <v>0</v>
      </c>
      <c r="C65" s="56">
        <v>0</v>
      </c>
      <c r="D65" s="56">
        <v>22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2">
        <f t="shared" si="1"/>
        <v>22</v>
      </c>
      <c r="K65" s="54">
        <f>J65+J64</f>
        <v>37</v>
      </c>
      <c r="L65" s="54">
        <f>SUM(J62:J65)</f>
        <v>75</v>
      </c>
      <c r="M65" s="54">
        <f>SUM(C62:I65)</f>
        <v>76</v>
      </c>
    </row>
    <row r="66" spans="1:13" ht="14.25" customHeight="1" x14ac:dyDescent="0.25">
      <c r="A66" s="50" t="s">
        <v>92</v>
      </c>
      <c r="B66" s="56">
        <v>0</v>
      </c>
      <c r="C66" s="56">
        <v>1</v>
      </c>
      <c r="D66" s="56">
        <v>16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2">
        <f t="shared" si="1"/>
        <v>16.5</v>
      </c>
      <c r="K66" s="53"/>
      <c r="L66" s="53"/>
      <c r="M66" s="53"/>
    </row>
    <row r="67" spans="1:13" ht="14.25" customHeight="1" x14ac:dyDescent="0.25">
      <c r="A67" s="50" t="s">
        <v>93</v>
      </c>
      <c r="B67" s="56">
        <v>0</v>
      </c>
      <c r="C67" s="56">
        <v>0</v>
      </c>
      <c r="D67" s="56">
        <v>9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2">
        <f t="shared" si="1"/>
        <v>9</v>
      </c>
      <c r="K67" s="54">
        <f>J67+J66</f>
        <v>25.5</v>
      </c>
      <c r="L67" s="55"/>
      <c r="M67" s="55"/>
    </row>
    <row r="68" spans="1:13" ht="14.25" customHeight="1" x14ac:dyDescent="0.25">
      <c r="A68" s="50" t="s">
        <v>94</v>
      </c>
      <c r="B68" s="56">
        <v>0</v>
      </c>
      <c r="C68" s="56">
        <v>0</v>
      </c>
      <c r="D68" s="56">
        <v>9</v>
      </c>
      <c r="E68" s="56">
        <v>0</v>
      </c>
      <c r="F68" s="56">
        <v>0</v>
      </c>
      <c r="G68" s="56">
        <v>0</v>
      </c>
      <c r="H68" s="56">
        <v>0</v>
      </c>
      <c r="I68" s="56">
        <v>0</v>
      </c>
      <c r="J68" s="52">
        <f t="shared" si="1"/>
        <v>9</v>
      </c>
      <c r="K68" s="53"/>
      <c r="L68" s="54"/>
      <c r="M68" s="54"/>
    </row>
    <row r="69" spans="1:13" ht="14.25" customHeight="1" x14ac:dyDescent="0.25">
      <c r="A69" s="50" t="s">
        <v>95</v>
      </c>
      <c r="B69" s="56">
        <v>0</v>
      </c>
      <c r="C69" s="56">
        <v>0</v>
      </c>
      <c r="D69" s="56">
        <v>11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2">
        <f t="shared" si="1"/>
        <v>11</v>
      </c>
      <c r="K69" s="54">
        <f>J69+J68</f>
        <v>20</v>
      </c>
      <c r="L69" s="54">
        <f>SUM(J66:J69)</f>
        <v>45.5</v>
      </c>
      <c r="M69" s="54">
        <f>SUM(C66:I69)</f>
        <v>46</v>
      </c>
    </row>
    <row r="70" spans="1:13" ht="14.25" customHeight="1" x14ac:dyDescent="0.25">
      <c r="A70" s="50" t="s">
        <v>96</v>
      </c>
      <c r="B70" s="51"/>
      <c r="C70" s="51"/>
      <c r="D70" s="51"/>
      <c r="E70" s="51"/>
      <c r="F70" s="51"/>
      <c r="G70" s="51"/>
      <c r="H70" s="51"/>
      <c r="I70" s="51"/>
      <c r="J70" s="52">
        <f t="shared" si="1"/>
        <v>0</v>
      </c>
      <c r="K70" s="53"/>
      <c r="L70" s="53"/>
      <c r="M70" s="53"/>
    </row>
    <row r="71" spans="1:13" ht="14.25" customHeight="1" x14ac:dyDescent="0.25">
      <c r="A71" s="50" t="s">
        <v>97</v>
      </c>
      <c r="B71" s="51"/>
      <c r="C71" s="51"/>
      <c r="D71" s="51"/>
      <c r="E71" s="51"/>
      <c r="F71" s="51"/>
      <c r="G71" s="51"/>
      <c r="H71" s="51"/>
      <c r="I71" s="51"/>
      <c r="J71" s="52">
        <f t="shared" si="1"/>
        <v>0</v>
      </c>
      <c r="K71" s="54">
        <f>J71+J70</f>
        <v>0</v>
      </c>
      <c r="L71" s="55"/>
      <c r="M71" s="55"/>
    </row>
    <row r="72" spans="1:13" ht="14.25" customHeight="1" x14ac:dyDescent="0.25">
      <c r="A72" s="50" t="s">
        <v>98</v>
      </c>
      <c r="B72" s="51"/>
      <c r="C72" s="51"/>
      <c r="D72" s="51"/>
      <c r="E72" s="51"/>
      <c r="F72" s="51"/>
      <c r="G72" s="51"/>
      <c r="H72" s="51"/>
      <c r="I72" s="51"/>
      <c r="J72" s="52">
        <f t="shared" si="1"/>
        <v>0</v>
      </c>
      <c r="K72" s="53"/>
      <c r="L72" s="54"/>
      <c r="M72" s="54"/>
    </row>
    <row r="73" spans="1:13" ht="14.25" customHeight="1" x14ac:dyDescent="0.25">
      <c r="A73" s="58" t="s">
        <v>99</v>
      </c>
      <c r="B73" s="51"/>
      <c r="C73" s="51"/>
      <c r="D73" s="51"/>
      <c r="E73" s="51"/>
      <c r="F73" s="51"/>
      <c r="G73" s="51"/>
      <c r="H73" s="51"/>
      <c r="I73" s="51"/>
      <c r="J73" s="52">
        <f t="shared" si="1"/>
        <v>0</v>
      </c>
      <c r="K73" s="54">
        <f>J73+J72</f>
        <v>0</v>
      </c>
      <c r="L73" s="54">
        <f>SUM(J70:J73)</f>
        <v>0</v>
      </c>
      <c r="M73" s="54">
        <f>SUM(C70:I73)</f>
        <v>0</v>
      </c>
    </row>
    <row r="74" spans="1:13" ht="14.25" customHeight="1" x14ac:dyDescent="0.25">
      <c r="A74" s="59" t="s">
        <v>100</v>
      </c>
      <c r="B74" s="51"/>
      <c r="C74" s="51"/>
      <c r="D74" s="51"/>
      <c r="E74" s="51"/>
      <c r="F74" s="51"/>
      <c r="G74" s="51"/>
      <c r="H74" s="51"/>
      <c r="I74" s="51"/>
      <c r="J74" s="52">
        <f t="shared" si="1"/>
        <v>0</v>
      </c>
      <c r="K74" s="53"/>
      <c r="L74" s="53"/>
      <c r="M74" s="53"/>
    </row>
    <row r="75" spans="1:13" ht="14.25" customHeight="1" x14ac:dyDescent="0.25">
      <c r="A75" s="59" t="s">
        <v>101</v>
      </c>
      <c r="B75" s="51"/>
      <c r="C75" s="51"/>
      <c r="D75" s="51"/>
      <c r="E75" s="51"/>
      <c r="F75" s="51"/>
      <c r="G75" s="51"/>
      <c r="H75" s="51"/>
      <c r="I75" s="51"/>
      <c r="J75" s="52">
        <f t="shared" si="1"/>
        <v>0</v>
      </c>
      <c r="K75" s="54">
        <f>J75+J74</f>
        <v>0</v>
      </c>
      <c r="L75" s="55"/>
      <c r="M75" s="55"/>
    </row>
    <row r="76" spans="1:13" ht="14.25" customHeight="1" x14ac:dyDescent="0.25">
      <c r="A76" s="59" t="s">
        <v>102</v>
      </c>
      <c r="B76" s="51"/>
      <c r="C76" s="51"/>
      <c r="D76" s="51"/>
      <c r="E76" s="51"/>
      <c r="F76" s="51"/>
      <c r="G76" s="51"/>
      <c r="H76" s="51"/>
      <c r="I76" s="51"/>
      <c r="J76" s="52">
        <f t="shared" si="1"/>
        <v>0</v>
      </c>
      <c r="K76" s="53"/>
      <c r="L76" s="54"/>
      <c r="M76" s="54"/>
    </row>
    <row r="77" spans="1:13" ht="14.25" customHeight="1" x14ac:dyDescent="0.25">
      <c r="A77" s="59" t="s">
        <v>103</v>
      </c>
      <c r="B77" s="51"/>
      <c r="C77" s="51"/>
      <c r="D77" s="51"/>
      <c r="E77" s="51"/>
      <c r="F77" s="51"/>
      <c r="G77" s="51"/>
      <c r="H77" s="51"/>
      <c r="I77" s="51"/>
      <c r="J77" s="52">
        <f t="shared" si="1"/>
        <v>0</v>
      </c>
      <c r="K77" s="54">
        <f>J77+J76</f>
        <v>0</v>
      </c>
      <c r="L77" s="54">
        <f>SUM(J74:J77)</f>
        <v>0</v>
      </c>
      <c r="M77" s="54">
        <f>SUM(C74:I77)</f>
        <v>0</v>
      </c>
    </row>
    <row r="78" spans="1:13" ht="14.25" customHeight="1" x14ac:dyDescent="0.25">
      <c r="A78" s="59" t="s">
        <v>104</v>
      </c>
      <c r="B78" s="51"/>
      <c r="C78" s="51"/>
      <c r="D78" s="51"/>
      <c r="E78" s="51"/>
      <c r="F78" s="51"/>
      <c r="G78" s="51"/>
      <c r="H78" s="51"/>
      <c r="I78" s="51"/>
      <c r="J78" s="52">
        <f t="shared" ref="J78:J109" si="2">SUMPRODUCT(B78:I78,$B$11:$I$11)</f>
        <v>0</v>
      </c>
      <c r="K78" s="53"/>
      <c r="L78" s="53"/>
      <c r="M78" s="53"/>
    </row>
    <row r="79" spans="1:13" ht="14.25" customHeight="1" x14ac:dyDescent="0.25">
      <c r="A79" s="59" t="s">
        <v>105</v>
      </c>
      <c r="B79" s="51"/>
      <c r="C79" s="51"/>
      <c r="D79" s="51"/>
      <c r="E79" s="51"/>
      <c r="F79" s="51"/>
      <c r="G79" s="51"/>
      <c r="H79" s="51"/>
      <c r="I79" s="51"/>
      <c r="J79" s="52">
        <f t="shared" si="2"/>
        <v>0</v>
      </c>
      <c r="K79" s="54">
        <f>J79+J78</f>
        <v>0</v>
      </c>
      <c r="L79" s="55"/>
      <c r="M79" s="55"/>
    </row>
    <row r="80" spans="1:13" ht="14.25" customHeight="1" x14ac:dyDescent="0.25">
      <c r="A80" s="59" t="s">
        <v>106</v>
      </c>
      <c r="B80" s="51"/>
      <c r="C80" s="51"/>
      <c r="D80" s="51"/>
      <c r="E80" s="51"/>
      <c r="F80" s="51"/>
      <c r="G80" s="51"/>
      <c r="H80" s="51"/>
      <c r="I80" s="51"/>
      <c r="J80" s="52">
        <f t="shared" si="2"/>
        <v>0</v>
      </c>
      <c r="K80" s="53"/>
      <c r="L80" s="54"/>
      <c r="M80" s="54"/>
    </row>
    <row r="81" spans="1:13" ht="14.25" customHeight="1" x14ac:dyDescent="0.25">
      <c r="A81" s="59" t="s">
        <v>107</v>
      </c>
      <c r="B81" s="51"/>
      <c r="C81" s="51"/>
      <c r="D81" s="51"/>
      <c r="E81" s="51"/>
      <c r="F81" s="51"/>
      <c r="G81" s="51"/>
      <c r="H81" s="51"/>
      <c r="I81" s="51"/>
      <c r="J81" s="52">
        <f t="shared" si="2"/>
        <v>0</v>
      </c>
      <c r="K81" s="54">
        <f>J81+J80</f>
        <v>0</v>
      </c>
      <c r="L81" s="54">
        <f>SUM(J78:J81)</f>
        <v>0</v>
      </c>
      <c r="M81" s="54">
        <f>SUM(C78:I81)</f>
        <v>0</v>
      </c>
    </row>
    <row r="82" spans="1:13" ht="14.25" customHeight="1" x14ac:dyDescent="0.45">
      <c r="A82" s="60" t="s">
        <v>108</v>
      </c>
      <c r="B82" s="61">
        <f>SUM(B$14:B81)</f>
        <v>2</v>
      </c>
      <c r="C82" s="61">
        <f>SUM(C$14:C81)</f>
        <v>4</v>
      </c>
      <c r="D82" s="61">
        <f>SUM(D$14:D81)</f>
        <v>571</v>
      </c>
      <c r="E82" s="61">
        <f>SUM(E$14:E81)</f>
        <v>0</v>
      </c>
      <c r="F82" s="61">
        <f>SUM(F$14:F81)</f>
        <v>0</v>
      </c>
      <c r="G82" s="61">
        <f>SUM(G$14:G81)</f>
        <v>4</v>
      </c>
      <c r="H82" s="61">
        <f>SUM(H$14:H81)</f>
        <v>0</v>
      </c>
      <c r="I82" s="61">
        <f>SUM(I$14:I81)</f>
        <v>0</v>
      </c>
      <c r="J82" s="61">
        <f>SUM(B82:I82)</f>
        <v>581</v>
      </c>
      <c r="K82" s="62"/>
      <c r="L82" s="63"/>
      <c r="M82" s="63"/>
    </row>
    <row r="83" spans="1:13" ht="14.25" customHeight="1" x14ac:dyDescent="0.25"/>
    <row r="84" spans="1:13" ht="14.25" customHeight="1" x14ac:dyDescent="0.25"/>
    <row r="85" spans="1:13" ht="14.25" customHeight="1" x14ac:dyDescent="0.25"/>
    <row r="86" spans="1:13" ht="14.25" customHeight="1" x14ac:dyDescent="0.25"/>
    <row r="87" spans="1:13" ht="14.25" customHeight="1" x14ac:dyDescent="0.25"/>
    <row r="88" spans="1:13" ht="14.25" customHeight="1" x14ac:dyDescent="0.25"/>
    <row r="89" spans="1:13" ht="14.25" customHeight="1" x14ac:dyDescent="0.25"/>
    <row r="90" spans="1:13" ht="14.25" customHeight="1" x14ac:dyDescent="0.25"/>
    <row r="91" spans="1:13" ht="14.25" customHeight="1" x14ac:dyDescent="0.25"/>
    <row r="92" spans="1:13" ht="14.25" customHeight="1" x14ac:dyDescent="0.25"/>
    <row r="93" spans="1:13" ht="14.25" customHeight="1" x14ac:dyDescent="0.25"/>
    <row r="94" spans="1:13" ht="14.25" customHeight="1" x14ac:dyDescent="0.25"/>
    <row r="95" spans="1:13" ht="14.25" customHeight="1" x14ac:dyDescent="0.25"/>
    <row r="96" spans="1:1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</sheetData>
  <mergeCells count="2">
    <mergeCell ref="A3:M3"/>
    <mergeCell ref="A4:M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975"/>
  <sheetViews>
    <sheetView zoomScale="85" zoomScaleNormal="85" workbookViewId="0"/>
  </sheetViews>
  <sheetFormatPr defaultColWidth="15.90625" defaultRowHeight="12.75" customHeight="1" x14ac:dyDescent="0.25"/>
  <cols>
    <col min="1" max="1" width="14.453125" customWidth="1"/>
    <col min="2" max="9" width="6.90625" customWidth="1"/>
    <col min="10" max="13" width="7.453125" customWidth="1"/>
    <col min="16377" max="16384" width="11.54296875" customWidth="1"/>
  </cols>
  <sheetData>
    <row r="1" spans="1:13" ht="14.2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8.75" customHeight="1" x14ac:dyDescent="0.4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35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4.25" customHeight="1" x14ac:dyDescent="0.3">
      <c r="A5" s="24" t="s">
        <v>6</v>
      </c>
      <c r="B5" s="25"/>
      <c r="C5" s="26"/>
      <c r="D5" s="27"/>
      <c r="E5" s="27"/>
      <c r="F5" s="25"/>
      <c r="G5" s="25"/>
      <c r="H5" s="28"/>
      <c r="I5" s="26"/>
      <c r="J5" s="27" t="s">
        <v>3</v>
      </c>
      <c r="K5" s="25">
        <v>0</v>
      </c>
      <c r="L5" s="29"/>
      <c r="M5" s="30"/>
    </row>
    <row r="6" spans="1:13" ht="14.25" customHeight="1" x14ac:dyDescent="0.3">
      <c r="A6" s="31">
        <f>Deckbl.!I11</f>
        <v>45944</v>
      </c>
      <c r="B6" s="9"/>
      <c r="C6" s="8"/>
      <c r="D6" s="8"/>
      <c r="E6" s="9"/>
      <c r="F6" s="9"/>
      <c r="G6" s="9"/>
      <c r="H6" s="9"/>
      <c r="I6" s="8"/>
      <c r="J6" s="12" t="s">
        <v>9</v>
      </c>
      <c r="K6" s="32" t="str">
        <f>Deckbl.!I12</f>
        <v>9-14 ° sonnig</v>
      </c>
      <c r="L6" s="33"/>
      <c r="M6" s="34"/>
    </row>
    <row r="7" spans="1:13" ht="14.25" customHeight="1" x14ac:dyDescent="0.3">
      <c r="A7" s="35"/>
      <c r="B7" s="12" t="s">
        <v>14</v>
      </c>
      <c r="C7" s="36" t="str">
        <f>Deckbl.!C8</f>
        <v>B122 / Badhaller Straße / Holznerweg (Bad Hall)</v>
      </c>
      <c r="D7" s="33"/>
      <c r="E7" s="37"/>
      <c r="F7" s="37"/>
      <c r="G7" s="37"/>
      <c r="H7" s="37"/>
      <c r="I7" s="38"/>
      <c r="J7" s="36"/>
      <c r="K7" s="37"/>
      <c r="L7" s="37"/>
      <c r="M7" s="39"/>
    </row>
    <row r="8" spans="1:13" ht="14.25" customHeight="1" x14ac:dyDescent="0.3">
      <c r="A8" s="35"/>
      <c r="B8" s="12" t="s">
        <v>15</v>
      </c>
      <c r="C8" s="33"/>
      <c r="D8" s="33"/>
      <c r="E8" s="37"/>
      <c r="F8" s="37"/>
      <c r="G8" s="37"/>
      <c r="H8" s="37"/>
      <c r="I8" s="38" t="s">
        <v>7</v>
      </c>
      <c r="J8" s="36" t="s">
        <v>16</v>
      </c>
      <c r="K8" s="40"/>
      <c r="L8" s="37"/>
      <c r="M8" s="39"/>
    </row>
    <row r="9" spans="1:13" ht="14.25" customHeight="1" x14ac:dyDescent="0.3">
      <c r="A9" s="35"/>
      <c r="B9" s="12" t="s">
        <v>17</v>
      </c>
      <c r="C9" s="41" t="s">
        <v>115</v>
      </c>
      <c r="D9" s="8"/>
      <c r="E9" s="9"/>
      <c r="F9" s="9"/>
      <c r="G9" s="9"/>
      <c r="H9" s="9"/>
      <c r="I9" s="12" t="s">
        <v>19</v>
      </c>
      <c r="J9" s="36" t="str">
        <f>Deckbl.!C11</f>
        <v>7-19 Uhr</v>
      </c>
      <c r="K9" s="37"/>
      <c r="L9" s="37"/>
      <c r="M9" s="39"/>
    </row>
    <row r="10" spans="1:13" ht="14.25" customHeight="1" x14ac:dyDescent="0.3">
      <c r="A10" s="35"/>
      <c r="B10" s="38" t="s">
        <v>20</v>
      </c>
      <c r="C10" s="42"/>
      <c r="D10" s="33"/>
      <c r="E10" s="37"/>
      <c r="F10" s="37"/>
      <c r="G10" s="37"/>
      <c r="H10" s="37"/>
      <c r="I10" s="38"/>
      <c r="J10" s="36"/>
      <c r="K10" s="37"/>
      <c r="L10" s="36"/>
      <c r="M10" s="39"/>
    </row>
    <row r="11" spans="1:13" ht="14.25" customHeight="1" x14ac:dyDescent="0.25">
      <c r="A11" s="43" t="s">
        <v>21</v>
      </c>
      <c r="B11" s="44">
        <v>0.3</v>
      </c>
      <c r="C11" s="44">
        <v>0.5</v>
      </c>
      <c r="D11" s="44">
        <v>1</v>
      </c>
      <c r="E11" s="44">
        <v>2</v>
      </c>
      <c r="F11" s="44">
        <v>2</v>
      </c>
      <c r="G11" s="44">
        <v>2</v>
      </c>
      <c r="H11" s="44">
        <v>3</v>
      </c>
      <c r="I11" s="44">
        <v>2</v>
      </c>
      <c r="J11" s="45"/>
      <c r="K11" s="45"/>
      <c r="L11" s="45"/>
      <c r="M11" s="45"/>
    </row>
    <row r="12" spans="1:13" ht="14.25" customHeight="1" x14ac:dyDescent="0.25">
      <c r="A12" s="46"/>
      <c r="B12" s="24"/>
      <c r="C12" s="47" t="s">
        <v>22</v>
      </c>
      <c r="D12" s="24" t="s">
        <v>23</v>
      </c>
      <c r="E12" s="47" t="s">
        <v>24</v>
      </c>
      <c r="F12" s="47" t="s">
        <v>25</v>
      </c>
      <c r="G12" s="24" t="s">
        <v>26</v>
      </c>
      <c r="H12" s="47" t="s">
        <v>27</v>
      </c>
      <c r="I12" s="47" t="s">
        <v>28</v>
      </c>
      <c r="J12" s="48" t="s">
        <v>29</v>
      </c>
      <c r="K12" s="48" t="s">
        <v>29</v>
      </c>
      <c r="L12" s="48" t="s">
        <v>29</v>
      </c>
      <c r="M12" s="48" t="s">
        <v>30</v>
      </c>
    </row>
    <row r="13" spans="1:13" ht="14.25" customHeight="1" x14ac:dyDescent="0.25">
      <c r="A13" s="49" t="s">
        <v>31</v>
      </c>
      <c r="B13" s="47" t="s">
        <v>32</v>
      </c>
      <c r="C13" s="47" t="s">
        <v>30</v>
      </c>
      <c r="D13" s="47" t="s">
        <v>33</v>
      </c>
      <c r="E13" s="47" t="s">
        <v>34</v>
      </c>
      <c r="F13" s="47" t="s">
        <v>34</v>
      </c>
      <c r="G13" s="47"/>
      <c r="H13" s="47" t="s">
        <v>35</v>
      </c>
      <c r="I13" s="47" t="s">
        <v>36</v>
      </c>
      <c r="J13" s="48" t="s">
        <v>37</v>
      </c>
      <c r="K13" s="48" t="s">
        <v>38</v>
      </c>
      <c r="L13" s="48" t="s">
        <v>39</v>
      </c>
      <c r="M13" s="48" t="s">
        <v>39</v>
      </c>
    </row>
    <row r="14" spans="1:13" ht="14.25" customHeight="1" x14ac:dyDescent="0.25">
      <c r="A14" s="50" t="s">
        <v>40</v>
      </c>
      <c r="B14" s="51"/>
      <c r="C14" s="51"/>
      <c r="D14" s="51"/>
      <c r="E14" s="51"/>
      <c r="F14" s="51"/>
      <c r="G14" s="51"/>
      <c r="H14" s="51"/>
      <c r="I14" s="51"/>
      <c r="J14" s="52">
        <f t="shared" ref="J14:J45" si="0">SUMPRODUCT(B14:I14,$B$11:$I$11)</f>
        <v>0</v>
      </c>
      <c r="K14" s="53"/>
      <c r="L14" s="53"/>
      <c r="M14" s="53"/>
    </row>
    <row r="15" spans="1:13" ht="14.25" customHeight="1" x14ac:dyDescent="0.25">
      <c r="A15" s="50" t="s">
        <v>41</v>
      </c>
      <c r="B15" s="51"/>
      <c r="C15" s="51"/>
      <c r="D15" s="51"/>
      <c r="E15" s="51"/>
      <c r="F15" s="51"/>
      <c r="G15" s="51"/>
      <c r="H15" s="51"/>
      <c r="I15" s="51"/>
      <c r="J15" s="52">
        <f t="shared" si="0"/>
        <v>0</v>
      </c>
      <c r="K15" s="54">
        <f>J15+J14</f>
        <v>0</v>
      </c>
      <c r="L15" s="55"/>
      <c r="M15" s="55"/>
    </row>
    <row r="16" spans="1:13" ht="14.25" customHeight="1" x14ac:dyDescent="0.25">
      <c r="A16" s="50" t="s">
        <v>42</v>
      </c>
      <c r="B16" s="51"/>
      <c r="C16" s="51"/>
      <c r="D16" s="51"/>
      <c r="E16" s="51"/>
      <c r="F16" s="51"/>
      <c r="G16" s="51"/>
      <c r="H16" s="51"/>
      <c r="I16" s="51"/>
      <c r="J16" s="52">
        <f t="shared" si="0"/>
        <v>0</v>
      </c>
      <c r="K16" s="53"/>
      <c r="L16" s="54"/>
      <c r="M16" s="54"/>
    </row>
    <row r="17" spans="1:13" ht="14.25" customHeight="1" x14ac:dyDescent="0.25">
      <c r="A17" s="50" t="s">
        <v>43</v>
      </c>
      <c r="B17" s="51"/>
      <c r="C17" s="51"/>
      <c r="D17" s="51"/>
      <c r="E17" s="51"/>
      <c r="F17" s="51"/>
      <c r="G17" s="51"/>
      <c r="H17" s="51"/>
      <c r="I17" s="51"/>
      <c r="J17" s="52">
        <f t="shared" si="0"/>
        <v>0</v>
      </c>
      <c r="K17" s="54">
        <f>J17+J16</f>
        <v>0</v>
      </c>
      <c r="L17" s="54">
        <f>SUM(J14:J17)</f>
        <v>0</v>
      </c>
      <c r="M17" s="54">
        <f>SUM(C14:I17)</f>
        <v>0</v>
      </c>
    </row>
    <row r="18" spans="1:13" ht="14.25" customHeight="1" x14ac:dyDescent="0.25">
      <c r="A18" s="50" t="s">
        <v>44</v>
      </c>
      <c r="B18" s="51"/>
      <c r="C18" s="51"/>
      <c r="D18" s="51"/>
      <c r="E18" s="51"/>
      <c r="F18" s="51"/>
      <c r="G18" s="51"/>
      <c r="H18" s="51"/>
      <c r="I18" s="51"/>
      <c r="J18" s="52">
        <f t="shared" si="0"/>
        <v>0</v>
      </c>
      <c r="K18" s="53"/>
      <c r="L18" s="53"/>
      <c r="M18" s="53"/>
    </row>
    <row r="19" spans="1:13" ht="14.25" customHeight="1" x14ac:dyDescent="0.25">
      <c r="A19" s="50" t="s">
        <v>45</v>
      </c>
      <c r="B19" s="51"/>
      <c r="C19" s="51"/>
      <c r="D19" s="51"/>
      <c r="E19" s="51"/>
      <c r="F19" s="51"/>
      <c r="G19" s="51"/>
      <c r="H19" s="51"/>
      <c r="I19" s="51"/>
      <c r="J19" s="52">
        <f t="shared" si="0"/>
        <v>0</v>
      </c>
      <c r="K19" s="54">
        <f>J19+J18</f>
        <v>0</v>
      </c>
      <c r="L19" s="55"/>
      <c r="M19" s="55"/>
    </row>
    <row r="20" spans="1:13" ht="14.25" customHeight="1" x14ac:dyDescent="0.25">
      <c r="A20" s="50" t="s">
        <v>46</v>
      </c>
      <c r="B20" s="51"/>
      <c r="C20" s="51"/>
      <c r="D20" s="51"/>
      <c r="E20" s="51"/>
      <c r="F20" s="51"/>
      <c r="G20" s="51"/>
      <c r="H20" s="51"/>
      <c r="I20" s="51"/>
      <c r="J20" s="52">
        <f t="shared" si="0"/>
        <v>0</v>
      </c>
      <c r="K20" s="53"/>
      <c r="L20" s="54"/>
      <c r="M20" s="54"/>
    </row>
    <row r="21" spans="1:13" ht="14.25" customHeight="1" x14ac:dyDescent="0.25">
      <c r="A21" s="50" t="s">
        <v>47</v>
      </c>
      <c r="B21" s="51"/>
      <c r="C21" s="51"/>
      <c r="D21" s="51"/>
      <c r="E21" s="51"/>
      <c r="F21" s="51"/>
      <c r="G21" s="51"/>
      <c r="H21" s="51"/>
      <c r="I21" s="51"/>
      <c r="J21" s="52">
        <f t="shared" si="0"/>
        <v>0</v>
      </c>
      <c r="K21" s="54">
        <f>J21+J20</f>
        <v>0</v>
      </c>
      <c r="L21" s="54">
        <f>SUM(J18:J21)</f>
        <v>0</v>
      </c>
      <c r="M21" s="54">
        <f>SUM(C18:I21)</f>
        <v>0</v>
      </c>
    </row>
    <row r="22" spans="1:13" ht="14.25" customHeight="1" x14ac:dyDescent="0.25">
      <c r="A22" s="50" t="s">
        <v>48</v>
      </c>
      <c r="B22" s="56">
        <v>0</v>
      </c>
      <c r="C22" s="56">
        <v>1</v>
      </c>
      <c r="D22" s="56">
        <v>123</v>
      </c>
      <c r="E22" s="56">
        <v>0</v>
      </c>
      <c r="F22" s="56">
        <v>0</v>
      </c>
      <c r="G22" s="56">
        <v>3</v>
      </c>
      <c r="H22" s="56">
        <v>5</v>
      </c>
      <c r="I22" s="56">
        <v>0</v>
      </c>
      <c r="J22" s="52">
        <f t="shared" si="0"/>
        <v>144.5</v>
      </c>
      <c r="K22" s="53"/>
      <c r="L22" s="53"/>
      <c r="M22" s="53"/>
    </row>
    <row r="23" spans="1:13" ht="14.25" customHeight="1" x14ac:dyDescent="0.25">
      <c r="A23" s="50" t="s">
        <v>49</v>
      </c>
      <c r="B23" s="56">
        <v>0</v>
      </c>
      <c r="C23" s="56">
        <v>0</v>
      </c>
      <c r="D23" s="56">
        <v>108</v>
      </c>
      <c r="E23" s="56">
        <v>1</v>
      </c>
      <c r="F23" s="56">
        <v>0</v>
      </c>
      <c r="G23" s="56">
        <v>3</v>
      </c>
      <c r="H23" s="56">
        <v>2</v>
      </c>
      <c r="I23" s="56">
        <v>0</v>
      </c>
      <c r="J23" s="52">
        <f t="shared" si="0"/>
        <v>122</v>
      </c>
      <c r="K23" s="54">
        <f>J23+J22</f>
        <v>266.5</v>
      </c>
      <c r="L23" s="55"/>
      <c r="M23" s="55"/>
    </row>
    <row r="24" spans="1:13" ht="14.25" customHeight="1" x14ac:dyDescent="0.25">
      <c r="A24" s="50" t="s">
        <v>50</v>
      </c>
      <c r="B24" s="56">
        <v>0</v>
      </c>
      <c r="C24" s="56">
        <v>0</v>
      </c>
      <c r="D24" s="56">
        <v>114</v>
      </c>
      <c r="E24" s="56">
        <v>1</v>
      </c>
      <c r="F24" s="56">
        <v>0</v>
      </c>
      <c r="G24" s="56">
        <v>2</v>
      </c>
      <c r="H24" s="56">
        <v>4</v>
      </c>
      <c r="I24" s="56">
        <v>0</v>
      </c>
      <c r="J24" s="52">
        <f t="shared" si="0"/>
        <v>132</v>
      </c>
      <c r="K24" s="53"/>
      <c r="L24" s="54"/>
      <c r="M24" s="54"/>
    </row>
    <row r="25" spans="1:13" ht="14.25" customHeight="1" x14ac:dyDescent="0.25">
      <c r="A25" s="50" t="s">
        <v>51</v>
      </c>
      <c r="B25" s="56">
        <v>0</v>
      </c>
      <c r="C25" s="56">
        <v>1</v>
      </c>
      <c r="D25" s="56">
        <v>90</v>
      </c>
      <c r="E25" s="56">
        <v>0</v>
      </c>
      <c r="F25" s="56">
        <v>1</v>
      </c>
      <c r="G25" s="56">
        <v>4</v>
      </c>
      <c r="H25" s="56">
        <v>2</v>
      </c>
      <c r="I25" s="56">
        <v>0</v>
      </c>
      <c r="J25" s="52">
        <f t="shared" si="0"/>
        <v>106.5</v>
      </c>
      <c r="K25" s="54">
        <f>J25+J24</f>
        <v>238.5</v>
      </c>
      <c r="L25" s="54">
        <f>SUM(J22:J25)</f>
        <v>505</v>
      </c>
      <c r="M25" s="54">
        <f>SUM(C22:I25)</f>
        <v>465</v>
      </c>
    </row>
    <row r="26" spans="1:13" ht="14.25" customHeight="1" x14ac:dyDescent="0.25">
      <c r="A26" s="50" t="s">
        <v>52</v>
      </c>
      <c r="B26" s="56">
        <v>0</v>
      </c>
      <c r="C26" s="56">
        <v>0</v>
      </c>
      <c r="D26" s="56">
        <v>86</v>
      </c>
      <c r="E26" s="56">
        <v>1</v>
      </c>
      <c r="F26" s="56">
        <v>0</v>
      </c>
      <c r="G26" s="56">
        <v>4</v>
      </c>
      <c r="H26" s="56">
        <v>4</v>
      </c>
      <c r="I26" s="56">
        <v>1</v>
      </c>
      <c r="J26" s="52">
        <f t="shared" si="0"/>
        <v>110</v>
      </c>
      <c r="K26" s="53"/>
      <c r="L26" s="53"/>
      <c r="M26" s="53"/>
    </row>
    <row r="27" spans="1:13" ht="14.25" customHeight="1" x14ac:dyDescent="0.25">
      <c r="A27" s="50" t="s">
        <v>53</v>
      </c>
      <c r="B27" s="56">
        <v>0</v>
      </c>
      <c r="C27" s="56">
        <v>0</v>
      </c>
      <c r="D27" s="56">
        <v>73</v>
      </c>
      <c r="E27" s="56">
        <v>1</v>
      </c>
      <c r="F27" s="56">
        <v>0</v>
      </c>
      <c r="G27" s="56">
        <v>3</v>
      </c>
      <c r="H27" s="56">
        <v>1</v>
      </c>
      <c r="I27" s="56">
        <v>0</v>
      </c>
      <c r="J27" s="52">
        <f t="shared" si="0"/>
        <v>84</v>
      </c>
      <c r="K27" s="54">
        <f>J27+J26</f>
        <v>194</v>
      </c>
      <c r="L27" s="55"/>
      <c r="M27" s="55"/>
    </row>
    <row r="28" spans="1:13" ht="14.25" customHeight="1" x14ac:dyDescent="0.25">
      <c r="A28" s="50" t="s">
        <v>54</v>
      </c>
      <c r="B28" s="56">
        <v>0</v>
      </c>
      <c r="C28" s="56">
        <v>0</v>
      </c>
      <c r="D28" s="56">
        <v>73</v>
      </c>
      <c r="E28" s="56">
        <v>2</v>
      </c>
      <c r="F28" s="56">
        <v>0</v>
      </c>
      <c r="G28" s="56">
        <v>6</v>
      </c>
      <c r="H28" s="56">
        <v>7</v>
      </c>
      <c r="I28" s="56">
        <v>0</v>
      </c>
      <c r="J28" s="52">
        <f t="shared" si="0"/>
        <v>110</v>
      </c>
      <c r="K28" s="53"/>
      <c r="L28" s="54"/>
      <c r="M28" s="54"/>
    </row>
    <row r="29" spans="1:13" ht="14.25" customHeight="1" x14ac:dyDescent="0.25">
      <c r="A29" s="50" t="s">
        <v>55</v>
      </c>
      <c r="B29" s="56">
        <v>0</v>
      </c>
      <c r="C29" s="56">
        <v>0</v>
      </c>
      <c r="D29" s="56">
        <v>68</v>
      </c>
      <c r="E29" s="56">
        <v>2</v>
      </c>
      <c r="F29" s="56">
        <v>0</v>
      </c>
      <c r="G29" s="56">
        <v>1</v>
      </c>
      <c r="H29" s="56">
        <v>7</v>
      </c>
      <c r="I29" s="56">
        <v>0</v>
      </c>
      <c r="J29" s="52">
        <f t="shared" si="0"/>
        <v>95</v>
      </c>
      <c r="K29" s="54">
        <f>J29+J28</f>
        <v>205</v>
      </c>
      <c r="L29" s="54">
        <f>SUM(J26:J29)</f>
        <v>399</v>
      </c>
      <c r="M29" s="54">
        <f>SUM(C26:I29)</f>
        <v>340</v>
      </c>
    </row>
    <row r="30" spans="1:13" ht="14.25" customHeight="1" x14ac:dyDescent="0.25">
      <c r="A30" s="50" t="s">
        <v>56</v>
      </c>
      <c r="B30" s="56">
        <v>0</v>
      </c>
      <c r="C30" s="56">
        <v>0</v>
      </c>
      <c r="D30" s="56">
        <v>58</v>
      </c>
      <c r="E30" s="56">
        <v>1</v>
      </c>
      <c r="F30" s="56">
        <v>0</v>
      </c>
      <c r="G30" s="56">
        <v>2</v>
      </c>
      <c r="H30" s="56">
        <v>6</v>
      </c>
      <c r="I30" s="56">
        <v>0</v>
      </c>
      <c r="J30" s="52">
        <f t="shared" si="0"/>
        <v>82</v>
      </c>
      <c r="K30" s="53"/>
      <c r="L30" s="53"/>
      <c r="M30" s="53"/>
    </row>
    <row r="31" spans="1:13" ht="14.25" customHeight="1" x14ac:dyDescent="0.25">
      <c r="A31" s="50" t="s">
        <v>57</v>
      </c>
      <c r="B31" s="56">
        <v>0</v>
      </c>
      <c r="C31" s="56">
        <v>0</v>
      </c>
      <c r="D31" s="56">
        <v>74</v>
      </c>
      <c r="E31" s="56">
        <v>0</v>
      </c>
      <c r="F31" s="56">
        <v>0</v>
      </c>
      <c r="G31" s="56">
        <v>2</v>
      </c>
      <c r="H31" s="56">
        <v>10</v>
      </c>
      <c r="I31" s="56">
        <v>0</v>
      </c>
      <c r="J31" s="52">
        <f t="shared" si="0"/>
        <v>108</v>
      </c>
      <c r="K31" s="54">
        <f>J31+J30</f>
        <v>190</v>
      </c>
      <c r="L31" s="55"/>
      <c r="M31" s="55"/>
    </row>
    <row r="32" spans="1:13" ht="14.25" customHeight="1" x14ac:dyDescent="0.25">
      <c r="A32" s="50" t="s">
        <v>58</v>
      </c>
      <c r="B32" s="56">
        <v>0</v>
      </c>
      <c r="C32" s="56">
        <v>1</v>
      </c>
      <c r="D32" s="56">
        <v>64</v>
      </c>
      <c r="E32" s="56">
        <v>2</v>
      </c>
      <c r="F32" s="56">
        <v>0</v>
      </c>
      <c r="G32" s="56">
        <v>3</v>
      </c>
      <c r="H32" s="56">
        <v>8</v>
      </c>
      <c r="I32" s="56">
        <v>0</v>
      </c>
      <c r="J32" s="52">
        <f t="shared" si="0"/>
        <v>98.5</v>
      </c>
      <c r="K32" s="53"/>
      <c r="L32" s="54"/>
      <c r="M32" s="54"/>
    </row>
    <row r="33" spans="1:13" ht="14.25" customHeight="1" x14ac:dyDescent="0.25">
      <c r="A33" s="50" t="s">
        <v>59</v>
      </c>
      <c r="B33" s="56">
        <v>0</v>
      </c>
      <c r="C33" s="56">
        <v>0</v>
      </c>
      <c r="D33" s="56">
        <v>60</v>
      </c>
      <c r="E33" s="56">
        <v>0</v>
      </c>
      <c r="F33" s="56">
        <v>0</v>
      </c>
      <c r="G33" s="56">
        <v>3</v>
      </c>
      <c r="H33" s="56">
        <v>4</v>
      </c>
      <c r="I33" s="56">
        <v>0</v>
      </c>
      <c r="J33" s="52">
        <f t="shared" si="0"/>
        <v>78</v>
      </c>
      <c r="K33" s="54">
        <f>J33+J32</f>
        <v>176.5</v>
      </c>
      <c r="L33" s="54">
        <f>SUM(J30:J33)</f>
        <v>366.5</v>
      </c>
      <c r="M33" s="54">
        <f>SUM(C30:I33)</f>
        <v>298</v>
      </c>
    </row>
    <row r="34" spans="1:13" ht="14.25" customHeight="1" x14ac:dyDescent="0.25">
      <c r="A34" s="50" t="s">
        <v>60</v>
      </c>
      <c r="B34" s="56">
        <v>0</v>
      </c>
      <c r="C34" s="56">
        <v>0</v>
      </c>
      <c r="D34" s="56">
        <v>58</v>
      </c>
      <c r="E34" s="56">
        <v>1</v>
      </c>
      <c r="F34" s="56">
        <v>0</v>
      </c>
      <c r="G34" s="56">
        <v>3</v>
      </c>
      <c r="H34" s="56">
        <v>4</v>
      </c>
      <c r="I34" s="56">
        <v>0</v>
      </c>
      <c r="J34" s="52">
        <f t="shared" si="0"/>
        <v>78</v>
      </c>
      <c r="K34" s="53"/>
      <c r="L34" s="53"/>
      <c r="M34" s="53"/>
    </row>
    <row r="35" spans="1:13" ht="14.25" customHeight="1" x14ac:dyDescent="0.25">
      <c r="A35" s="50" t="s">
        <v>61</v>
      </c>
      <c r="B35" s="56">
        <v>0</v>
      </c>
      <c r="C35" s="56">
        <v>0</v>
      </c>
      <c r="D35" s="56">
        <v>57</v>
      </c>
      <c r="E35" s="56">
        <v>0</v>
      </c>
      <c r="F35" s="56">
        <v>0</v>
      </c>
      <c r="G35" s="56">
        <v>2</v>
      </c>
      <c r="H35" s="56">
        <v>7</v>
      </c>
      <c r="I35" s="56">
        <v>0</v>
      </c>
      <c r="J35" s="52">
        <f t="shared" si="0"/>
        <v>82</v>
      </c>
      <c r="K35" s="54">
        <f>J35+J34</f>
        <v>160</v>
      </c>
      <c r="L35" s="55"/>
      <c r="M35" s="55"/>
    </row>
    <row r="36" spans="1:13" ht="14.25" customHeight="1" x14ac:dyDescent="0.25">
      <c r="A36" s="50" t="s">
        <v>62</v>
      </c>
      <c r="B36" s="56">
        <v>0</v>
      </c>
      <c r="C36" s="56">
        <v>1</v>
      </c>
      <c r="D36" s="56">
        <v>55</v>
      </c>
      <c r="E36" s="56">
        <v>2</v>
      </c>
      <c r="F36" s="56">
        <v>0</v>
      </c>
      <c r="G36" s="56">
        <v>1</v>
      </c>
      <c r="H36" s="56">
        <v>8</v>
      </c>
      <c r="I36" s="56">
        <v>1</v>
      </c>
      <c r="J36" s="52">
        <f t="shared" si="0"/>
        <v>87.5</v>
      </c>
      <c r="K36" s="53"/>
      <c r="L36" s="54"/>
      <c r="M36" s="54"/>
    </row>
    <row r="37" spans="1:13" ht="14.25" customHeight="1" x14ac:dyDescent="0.25">
      <c r="A37" s="50" t="s">
        <v>63</v>
      </c>
      <c r="B37" s="56">
        <v>0</v>
      </c>
      <c r="C37" s="56">
        <v>1</v>
      </c>
      <c r="D37" s="56">
        <v>65</v>
      </c>
      <c r="E37" s="56">
        <v>1</v>
      </c>
      <c r="F37" s="56">
        <v>0</v>
      </c>
      <c r="G37" s="56">
        <v>2</v>
      </c>
      <c r="H37" s="56">
        <v>4</v>
      </c>
      <c r="I37" s="56">
        <v>0</v>
      </c>
      <c r="J37" s="52">
        <f t="shared" si="0"/>
        <v>83.5</v>
      </c>
      <c r="K37" s="54">
        <f>J37+J36</f>
        <v>171</v>
      </c>
      <c r="L37" s="54">
        <f>SUM(J34:J37)</f>
        <v>331</v>
      </c>
      <c r="M37" s="54">
        <f>SUM(C34:I37)</f>
        <v>273</v>
      </c>
    </row>
    <row r="38" spans="1:13" ht="14.25" customHeight="1" x14ac:dyDescent="0.25">
      <c r="A38" s="50" t="s">
        <v>64</v>
      </c>
      <c r="B38" s="56">
        <v>0</v>
      </c>
      <c r="C38" s="56">
        <v>0</v>
      </c>
      <c r="D38" s="56">
        <v>64</v>
      </c>
      <c r="E38" s="56">
        <v>0</v>
      </c>
      <c r="F38" s="56">
        <v>0</v>
      </c>
      <c r="G38" s="56">
        <v>5</v>
      </c>
      <c r="H38" s="56">
        <v>8</v>
      </c>
      <c r="I38" s="56">
        <v>1</v>
      </c>
      <c r="J38" s="52">
        <f t="shared" si="0"/>
        <v>100</v>
      </c>
      <c r="K38" s="53"/>
      <c r="L38" s="53"/>
      <c r="M38" s="53"/>
    </row>
    <row r="39" spans="1:13" ht="14.25" customHeight="1" x14ac:dyDescent="0.25">
      <c r="A39" s="50" t="s">
        <v>65</v>
      </c>
      <c r="B39" s="56">
        <v>0</v>
      </c>
      <c r="C39" s="56">
        <v>0</v>
      </c>
      <c r="D39" s="56">
        <v>65</v>
      </c>
      <c r="E39" s="56">
        <v>0</v>
      </c>
      <c r="F39" s="56">
        <v>0</v>
      </c>
      <c r="G39" s="56">
        <v>6</v>
      </c>
      <c r="H39" s="56">
        <v>8</v>
      </c>
      <c r="I39" s="56">
        <v>0</v>
      </c>
      <c r="J39" s="52">
        <f t="shared" si="0"/>
        <v>101</v>
      </c>
      <c r="K39" s="54">
        <f>J39+J38</f>
        <v>201</v>
      </c>
      <c r="L39" s="55"/>
      <c r="M39" s="55"/>
    </row>
    <row r="40" spans="1:13" ht="14.25" customHeight="1" x14ac:dyDescent="0.25">
      <c r="A40" s="50" t="s">
        <v>66</v>
      </c>
      <c r="B40" s="56">
        <v>0</v>
      </c>
      <c r="C40" s="56">
        <v>0</v>
      </c>
      <c r="D40" s="56">
        <v>64</v>
      </c>
      <c r="E40" s="56">
        <v>2</v>
      </c>
      <c r="F40" s="56">
        <v>0</v>
      </c>
      <c r="G40" s="56">
        <v>6</v>
      </c>
      <c r="H40" s="56">
        <v>7</v>
      </c>
      <c r="I40" s="56">
        <v>0</v>
      </c>
      <c r="J40" s="52">
        <f t="shared" si="0"/>
        <v>101</v>
      </c>
      <c r="K40" s="53"/>
      <c r="L40" s="54"/>
      <c r="M40" s="54"/>
    </row>
    <row r="41" spans="1:13" ht="14.25" customHeight="1" x14ac:dyDescent="0.25">
      <c r="A41" s="50" t="s">
        <v>67</v>
      </c>
      <c r="B41" s="56">
        <v>0</v>
      </c>
      <c r="C41" s="56">
        <v>0</v>
      </c>
      <c r="D41" s="56">
        <v>56</v>
      </c>
      <c r="E41" s="56">
        <v>3</v>
      </c>
      <c r="F41" s="56">
        <v>0</v>
      </c>
      <c r="G41" s="56">
        <v>2</v>
      </c>
      <c r="H41" s="56">
        <v>5</v>
      </c>
      <c r="I41" s="56">
        <v>1</v>
      </c>
      <c r="J41" s="52">
        <f t="shared" si="0"/>
        <v>83</v>
      </c>
      <c r="K41" s="54">
        <f>J41+J40</f>
        <v>184</v>
      </c>
      <c r="L41" s="54">
        <f>SUM(J38:J41)</f>
        <v>385</v>
      </c>
      <c r="M41" s="54">
        <f>SUM(C38:I41)</f>
        <v>303</v>
      </c>
    </row>
    <row r="42" spans="1:13" ht="14.25" customHeight="1" x14ac:dyDescent="0.25">
      <c r="A42" s="50" t="s">
        <v>68</v>
      </c>
      <c r="B42" s="56">
        <v>0</v>
      </c>
      <c r="C42" s="56">
        <v>1</v>
      </c>
      <c r="D42" s="56">
        <v>65</v>
      </c>
      <c r="E42" s="56">
        <v>2</v>
      </c>
      <c r="F42" s="56">
        <v>0</v>
      </c>
      <c r="G42" s="56">
        <v>2</v>
      </c>
      <c r="H42" s="56">
        <v>8</v>
      </c>
      <c r="I42" s="56">
        <v>0</v>
      </c>
      <c r="J42" s="52">
        <f t="shared" si="0"/>
        <v>97.5</v>
      </c>
      <c r="K42" s="53"/>
      <c r="L42" s="53"/>
      <c r="M42" s="53"/>
    </row>
    <row r="43" spans="1:13" ht="14.25" customHeight="1" x14ac:dyDescent="0.25">
      <c r="A43" s="50" t="s">
        <v>69</v>
      </c>
      <c r="B43" s="56">
        <v>0</v>
      </c>
      <c r="C43" s="56">
        <v>2</v>
      </c>
      <c r="D43" s="56">
        <v>61</v>
      </c>
      <c r="E43" s="56">
        <v>0</v>
      </c>
      <c r="F43" s="56">
        <v>0</v>
      </c>
      <c r="G43" s="56">
        <v>6</v>
      </c>
      <c r="H43" s="56">
        <v>8</v>
      </c>
      <c r="I43" s="56">
        <v>0</v>
      </c>
      <c r="J43" s="52">
        <f t="shared" si="0"/>
        <v>98</v>
      </c>
      <c r="K43" s="54">
        <f>J43+J42</f>
        <v>195.5</v>
      </c>
      <c r="L43" s="55"/>
      <c r="M43" s="55"/>
    </row>
    <row r="44" spans="1:13" ht="14.25" customHeight="1" x14ac:dyDescent="0.25">
      <c r="A44" s="50" t="s">
        <v>70</v>
      </c>
      <c r="B44" s="56">
        <v>0</v>
      </c>
      <c r="C44" s="56">
        <v>0</v>
      </c>
      <c r="D44" s="56">
        <v>59</v>
      </c>
      <c r="E44" s="56">
        <v>3</v>
      </c>
      <c r="F44" s="56">
        <v>0</v>
      </c>
      <c r="G44" s="56">
        <v>2</v>
      </c>
      <c r="H44" s="56">
        <v>7</v>
      </c>
      <c r="I44" s="56">
        <v>0</v>
      </c>
      <c r="J44" s="52">
        <f t="shared" si="0"/>
        <v>90</v>
      </c>
      <c r="K44" s="53"/>
      <c r="L44" s="54"/>
      <c r="M44" s="54"/>
    </row>
    <row r="45" spans="1:13" ht="14.25" customHeight="1" x14ac:dyDescent="0.25">
      <c r="A45" s="50" t="s">
        <v>71</v>
      </c>
      <c r="B45" s="56">
        <v>0</v>
      </c>
      <c r="C45" s="56">
        <v>1</v>
      </c>
      <c r="D45" s="56">
        <v>66</v>
      </c>
      <c r="E45" s="56">
        <v>1</v>
      </c>
      <c r="F45" s="56">
        <v>0</v>
      </c>
      <c r="G45" s="56">
        <v>1</v>
      </c>
      <c r="H45" s="56">
        <v>2</v>
      </c>
      <c r="I45" s="56">
        <v>0</v>
      </c>
      <c r="J45" s="52">
        <f t="shared" si="0"/>
        <v>76.5</v>
      </c>
      <c r="K45" s="54">
        <f>J45+J44</f>
        <v>166.5</v>
      </c>
      <c r="L45" s="54">
        <f>SUM(J42:J45)</f>
        <v>362</v>
      </c>
      <c r="M45" s="54">
        <f>SUM(C42:I45)</f>
        <v>297</v>
      </c>
    </row>
    <row r="46" spans="1:13" ht="14.25" customHeight="1" x14ac:dyDescent="0.25">
      <c r="A46" s="50" t="s">
        <v>72</v>
      </c>
      <c r="B46" s="56">
        <v>0</v>
      </c>
      <c r="C46" s="56">
        <v>0</v>
      </c>
      <c r="D46" s="56">
        <v>75</v>
      </c>
      <c r="E46" s="56">
        <v>0</v>
      </c>
      <c r="F46" s="56">
        <v>0</v>
      </c>
      <c r="G46" s="56">
        <v>4</v>
      </c>
      <c r="H46" s="56">
        <v>4</v>
      </c>
      <c r="I46" s="56">
        <v>1</v>
      </c>
      <c r="J46" s="52">
        <f t="shared" ref="J46:J77" si="1">SUMPRODUCT(B46:I46,$B$11:$I$11)</f>
        <v>97</v>
      </c>
      <c r="K46" s="53"/>
      <c r="L46" s="53"/>
      <c r="M46" s="53"/>
    </row>
    <row r="47" spans="1:13" ht="14.25" customHeight="1" x14ac:dyDescent="0.25">
      <c r="A47" s="50" t="s">
        <v>73</v>
      </c>
      <c r="B47" s="56">
        <v>0</v>
      </c>
      <c r="C47" s="56">
        <v>0</v>
      </c>
      <c r="D47" s="56">
        <v>82</v>
      </c>
      <c r="E47" s="56">
        <v>0</v>
      </c>
      <c r="F47" s="56">
        <v>0</v>
      </c>
      <c r="G47" s="56">
        <v>3</v>
      </c>
      <c r="H47" s="56">
        <v>6</v>
      </c>
      <c r="I47" s="56">
        <v>0</v>
      </c>
      <c r="J47" s="52">
        <f t="shared" si="1"/>
        <v>106</v>
      </c>
      <c r="K47" s="54">
        <f>J47+J46</f>
        <v>203</v>
      </c>
      <c r="L47" s="55"/>
      <c r="M47" s="55"/>
    </row>
    <row r="48" spans="1:13" ht="14.25" customHeight="1" x14ac:dyDescent="0.25">
      <c r="A48" s="50" t="s">
        <v>74</v>
      </c>
      <c r="B48" s="56">
        <v>0</v>
      </c>
      <c r="C48" s="56">
        <v>0</v>
      </c>
      <c r="D48" s="56">
        <v>52</v>
      </c>
      <c r="E48" s="56">
        <v>2</v>
      </c>
      <c r="F48" s="56">
        <v>0</v>
      </c>
      <c r="G48" s="56">
        <v>5</v>
      </c>
      <c r="H48" s="56">
        <v>3</v>
      </c>
      <c r="I48" s="56">
        <v>0</v>
      </c>
      <c r="J48" s="52">
        <f t="shared" si="1"/>
        <v>75</v>
      </c>
      <c r="K48" s="53"/>
      <c r="L48" s="54"/>
      <c r="M48" s="54"/>
    </row>
    <row r="49" spans="1:13" ht="14.25" customHeight="1" x14ac:dyDescent="0.25">
      <c r="A49" s="50" t="s">
        <v>75</v>
      </c>
      <c r="B49" s="56">
        <v>0</v>
      </c>
      <c r="C49" s="56">
        <v>1</v>
      </c>
      <c r="D49" s="56">
        <v>62</v>
      </c>
      <c r="E49" s="56">
        <v>1</v>
      </c>
      <c r="F49" s="56">
        <v>0</v>
      </c>
      <c r="G49" s="56">
        <v>3</v>
      </c>
      <c r="H49" s="56">
        <v>7</v>
      </c>
      <c r="I49" s="56">
        <v>0</v>
      </c>
      <c r="J49" s="52">
        <f t="shared" si="1"/>
        <v>91.5</v>
      </c>
      <c r="K49" s="54">
        <f>J49+J48</f>
        <v>166.5</v>
      </c>
      <c r="L49" s="54">
        <f>SUM(J46:J49)</f>
        <v>369.5</v>
      </c>
      <c r="M49" s="54">
        <f>SUM(C46:I49)</f>
        <v>311</v>
      </c>
    </row>
    <row r="50" spans="1:13" ht="14.25" customHeight="1" x14ac:dyDescent="0.25">
      <c r="A50" s="50" t="s">
        <v>76</v>
      </c>
      <c r="B50" s="56">
        <v>0</v>
      </c>
      <c r="C50" s="56">
        <v>1</v>
      </c>
      <c r="D50" s="56">
        <v>61</v>
      </c>
      <c r="E50" s="56">
        <v>1</v>
      </c>
      <c r="F50" s="56">
        <v>0</v>
      </c>
      <c r="G50" s="56">
        <v>5</v>
      </c>
      <c r="H50" s="56">
        <v>11</v>
      </c>
      <c r="I50" s="56">
        <v>0</v>
      </c>
      <c r="J50" s="52">
        <f t="shared" si="1"/>
        <v>106.5</v>
      </c>
      <c r="K50" s="53"/>
      <c r="L50" s="53"/>
      <c r="M50" s="53"/>
    </row>
    <row r="51" spans="1:13" ht="14.25" customHeight="1" x14ac:dyDescent="0.25">
      <c r="A51" s="50" t="s">
        <v>77</v>
      </c>
      <c r="B51" s="56">
        <v>0</v>
      </c>
      <c r="C51" s="56">
        <v>1</v>
      </c>
      <c r="D51" s="56">
        <v>62</v>
      </c>
      <c r="E51" s="56">
        <v>0</v>
      </c>
      <c r="F51" s="56">
        <v>0</v>
      </c>
      <c r="G51" s="56">
        <v>2</v>
      </c>
      <c r="H51" s="56">
        <v>8</v>
      </c>
      <c r="I51" s="56">
        <v>0</v>
      </c>
      <c r="J51" s="52">
        <f t="shared" si="1"/>
        <v>90.5</v>
      </c>
      <c r="K51" s="54">
        <f>J51+J50</f>
        <v>197</v>
      </c>
      <c r="L51" s="55"/>
      <c r="M51" s="55"/>
    </row>
    <row r="52" spans="1:13" ht="14.25" customHeight="1" x14ac:dyDescent="0.25">
      <c r="A52" s="50" t="s">
        <v>78</v>
      </c>
      <c r="B52" s="56">
        <v>0</v>
      </c>
      <c r="C52" s="56">
        <v>0</v>
      </c>
      <c r="D52" s="56">
        <v>67</v>
      </c>
      <c r="E52" s="56">
        <v>3</v>
      </c>
      <c r="F52" s="56">
        <v>0</v>
      </c>
      <c r="G52" s="56">
        <v>7</v>
      </c>
      <c r="H52" s="56">
        <v>8</v>
      </c>
      <c r="I52" s="56">
        <v>1</v>
      </c>
      <c r="J52" s="52">
        <f t="shared" si="1"/>
        <v>113</v>
      </c>
      <c r="K52" s="53"/>
      <c r="L52" s="54"/>
      <c r="M52" s="54"/>
    </row>
    <row r="53" spans="1:13" ht="14.25" customHeight="1" x14ac:dyDescent="0.25">
      <c r="A53" s="50" t="s">
        <v>79</v>
      </c>
      <c r="B53" s="56">
        <v>0</v>
      </c>
      <c r="C53" s="56">
        <v>2</v>
      </c>
      <c r="D53" s="56">
        <v>73</v>
      </c>
      <c r="E53" s="56">
        <v>1</v>
      </c>
      <c r="F53" s="56">
        <v>0</v>
      </c>
      <c r="G53" s="56">
        <v>2</v>
      </c>
      <c r="H53" s="56">
        <v>3</v>
      </c>
      <c r="I53" s="56">
        <v>0</v>
      </c>
      <c r="J53" s="52">
        <f t="shared" si="1"/>
        <v>89</v>
      </c>
      <c r="K53" s="54">
        <f>J53+J52</f>
        <v>202</v>
      </c>
      <c r="L53" s="54">
        <f>SUM(J50:J53)</f>
        <v>399</v>
      </c>
      <c r="M53" s="54">
        <f>SUM(C50:I53)</f>
        <v>319</v>
      </c>
    </row>
    <row r="54" spans="1:13" ht="14.25" customHeight="1" x14ac:dyDescent="0.25">
      <c r="A54" s="50" t="s">
        <v>80</v>
      </c>
      <c r="B54" s="56">
        <v>0</v>
      </c>
      <c r="C54" s="56">
        <v>1</v>
      </c>
      <c r="D54" s="56">
        <v>75</v>
      </c>
      <c r="E54" s="56">
        <v>1</v>
      </c>
      <c r="F54" s="56">
        <v>0</v>
      </c>
      <c r="G54" s="56">
        <v>4</v>
      </c>
      <c r="H54" s="56">
        <v>4</v>
      </c>
      <c r="I54" s="56">
        <v>0</v>
      </c>
      <c r="J54" s="52">
        <f t="shared" si="1"/>
        <v>97.5</v>
      </c>
      <c r="K54" s="53"/>
      <c r="L54" s="53"/>
      <c r="M54" s="53"/>
    </row>
    <row r="55" spans="1:13" ht="14.25" customHeight="1" x14ac:dyDescent="0.25">
      <c r="A55" s="50" t="s">
        <v>81</v>
      </c>
      <c r="B55" s="56">
        <v>0</v>
      </c>
      <c r="C55" s="56">
        <v>0</v>
      </c>
      <c r="D55" s="56">
        <v>94</v>
      </c>
      <c r="E55" s="56">
        <v>0</v>
      </c>
      <c r="F55" s="56">
        <v>0</v>
      </c>
      <c r="G55" s="56">
        <v>3</v>
      </c>
      <c r="H55" s="56">
        <v>6</v>
      </c>
      <c r="I55" s="56">
        <v>0</v>
      </c>
      <c r="J55" s="52">
        <f t="shared" si="1"/>
        <v>118</v>
      </c>
      <c r="K55" s="54">
        <f>J55+J54</f>
        <v>215.5</v>
      </c>
      <c r="L55" s="55"/>
      <c r="M55" s="55"/>
    </row>
    <row r="56" spans="1:13" ht="14.25" customHeight="1" x14ac:dyDescent="0.25">
      <c r="A56" s="50" t="s">
        <v>82</v>
      </c>
      <c r="B56" s="56">
        <v>0</v>
      </c>
      <c r="C56" s="56">
        <v>0</v>
      </c>
      <c r="D56" s="56">
        <v>96</v>
      </c>
      <c r="E56" s="56">
        <v>2</v>
      </c>
      <c r="F56" s="56">
        <v>0</v>
      </c>
      <c r="G56" s="56">
        <v>2</v>
      </c>
      <c r="H56" s="56">
        <v>4</v>
      </c>
      <c r="I56" s="56">
        <v>0</v>
      </c>
      <c r="J56" s="52">
        <f t="shared" si="1"/>
        <v>116</v>
      </c>
      <c r="K56" s="53"/>
      <c r="L56" s="54"/>
      <c r="M56" s="54"/>
    </row>
    <row r="57" spans="1:13" ht="14.25" customHeight="1" x14ac:dyDescent="0.25">
      <c r="A57" s="50" t="s">
        <v>83</v>
      </c>
      <c r="B57" s="56">
        <v>0</v>
      </c>
      <c r="C57" s="56">
        <v>2</v>
      </c>
      <c r="D57" s="56">
        <v>96</v>
      </c>
      <c r="E57" s="56">
        <v>1</v>
      </c>
      <c r="F57" s="56">
        <v>0</v>
      </c>
      <c r="G57" s="56">
        <v>4</v>
      </c>
      <c r="H57" s="56">
        <v>5</v>
      </c>
      <c r="I57" s="56">
        <v>1</v>
      </c>
      <c r="J57" s="52">
        <f t="shared" si="1"/>
        <v>124</v>
      </c>
      <c r="K57" s="57">
        <f>J57+J56</f>
        <v>240</v>
      </c>
      <c r="L57" s="54">
        <f>SUM(J54:J57)</f>
        <v>455.5</v>
      </c>
      <c r="M57" s="54">
        <f>SUM(C54:I57)</f>
        <v>401</v>
      </c>
    </row>
    <row r="58" spans="1:13" ht="14.25" customHeight="1" x14ac:dyDescent="0.25">
      <c r="A58" s="50" t="s">
        <v>84</v>
      </c>
      <c r="B58" s="56">
        <v>0</v>
      </c>
      <c r="C58" s="56">
        <v>0</v>
      </c>
      <c r="D58" s="56">
        <v>88</v>
      </c>
      <c r="E58" s="56">
        <v>1</v>
      </c>
      <c r="F58" s="56">
        <v>0</v>
      </c>
      <c r="G58" s="56">
        <v>3</v>
      </c>
      <c r="H58" s="56">
        <v>2</v>
      </c>
      <c r="I58" s="56">
        <v>0</v>
      </c>
      <c r="J58" s="52">
        <f t="shared" si="1"/>
        <v>102</v>
      </c>
      <c r="K58" s="53"/>
      <c r="L58" s="53"/>
      <c r="M58" s="53"/>
    </row>
    <row r="59" spans="1:13" ht="14.25" customHeight="1" x14ac:dyDescent="0.25">
      <c r="A59" s="50" t="s">
        <v>85</v>
      </c>
      <c r="B59" s="56">
        <v>0</v>
      </c>
      <c r="C59" s="56">
        <v>1</v>
      </c>
      <c r="D59" s="56">
        <v>84</v>
      </c>
      <c r="E59" s="56">
        <v>0</v>
      </c>
      <c r="F59" s="56">
        <v>0</v>
      </c>
      <c r="G59" s="56">
        <v>0</v>
      </c>
      <c r="H59" s="56">
        <v>4</v>
      </c>
      <c r="I59" s="56">
        <v>0</v>
      </c>
      <c r="J59" s="52">
        <f t="shared" si="1"/>
        <v>96.5</v>
      </c>
      <c r="K59" s="54">
        <f>J59+J58</f>
        <v>198.5</v>
      </c>
      <c r="L59" s="55"/>
      <c r="M59" s="55"/>
    </row>
    <row r="60" spans="1:13" ht="14.25" customHeight="1" x14ac:dyDescent="0.25">
      <c r="A60" s="50" t="s">
        <v>86</v>
      </c>
      <c r="B60" s="56">
        <v>0</v>
      </c>
      <c r="C60" s="56">
        <v>0</v>
      </c>
      <c r="D60" s="56">
        <v>95</v>
      </c>
      <c r="E60" s="56">
        <v>1</v>
      </c>
      <c r="F60" s="56">
        <v>0</v>
      </c>
      <c r="G60" s="56">
        <v>0</v>
      </c>
      <c r="H60" s="56">
        <v>2</v>
      </c>
      <c r="I60" s="56">
        <v>0</v>
      </c>
      <c r="J60" s="52">
        <f t="shared" si="1"/>
        <v>103</v>
      </c>
      <c r="K60" s="53"/>
      <c r="L60" s="54"/>
      <c r="M60" s="54"/>
    </row>
    <row r="61" spans="1:13" ht="14.25" customHeight="1" x14ac:dyDescent="0.25">
      <c r="A61" s="50" t="s">
        <v>87</v>
      </c>
      <c r="B61" s="56">
        <v>0</v>
      </c>
      <c r="C61" s="56">
        <v>3</v>
      </c>
      <c r="D61" s="56">
        <v>93</v>
      </c>
      <c r="E61" s="56">
        <v>0</v>
      </c>
      <c r="F61" s="56">
        <v>0</v>
      </c>
      <c r="G61" s="56">
        <v>1</v>
      </c>
      <c r="H61" s="56">
        <v>4</v>
      </c>
      <c r="I61" s="56">
        <v>0</v>
      </c>
      <c r="J61" s="52">
        <f t="shared" si="1"/>
        <v>108.5</v>
      </c>
      <c r="K61" s="54">
        <f>J61+J60</f>
        <v>211.5</v>
      </c>
      <c r="L61" s="54">
        <f>SUM(J58:J61)</f>
        <v>410</v>
      </c>
      <c r="M61" s="54">
        <f>SUM(C58:I61)</f>
        <v>382</v>
      </c>
    </row>
    <row r="62" spans="1:13" ht="14.25" customHeight="1" x14ac:dyDescent="0.25">
      <c r="A62" s="50" t="s">
        <v>88</v>
      </c>
      <c r="B62" s="56">
        <v>0</v>
      </c>
      <c r="C62" s="56">
        <v>1</v>
      </c>
      <c r="D62" s="56">
        <v>78</v>
      </c>
      <c r="E62" s="56">
        <v>2</v>
      </c>
      <c r="F62" s="56">
        <v>0</v>
      </c>
      <c r="G62" s="56">
        <v>3</v>
      </c>
      <c r="H62" s="56">
        <v>3</v>
      </c>
      <c r="I62" s="56">
        <v>1</v>
      </c>
      <c r="J62" s="52">
        <f t="shared" si="1"/>
        <v>99.5</v>
      </c>
      <c r="K62" s="53"/>
      <c r="L62" s="53"/>
      <c r="M62" s="53"/>
    </row>
    <row r="63" spans="1:13" ht="14.25" customHeight="1" x14ac:dyDescent="0.25">
      <c r="A63" s="50" t="s">
        <v>89</v>
      </c>
      <c r="B63" s="56">
        <v>0</v>
      </c>
      <c r="C63" s="56">
        <v>3</v>
      </c>
      <c r="D63" s="56">
        <v>75</v>
      </c>
      <c r="E63" s="56">
        <v>0</v>
      </c>
      <c r="F63" s="56">
        <v>0</v>
      </c>
      <c r="G63" s="56">
        <v>2</v>
      </c>
      <c r="H63" s="56">
        <v>3</v>
      </c>
      <c r="I63" s="56">
        <v>0</v>
      </c>
      <c r="J63" s="52">
        <f t="shared" si="1"/>
        <v>89.5</v>
      </c>
      <c r="K63" s="54">
        <f>J63+J62</f>
        <v>189</v>
      </c>
      <c r="L63" s="55"/>
      <c r="M63" s="55"/>
    </row>
    <row r="64" spans="1:13" ht="14.25" customHeight="1" x14ac:dyDescent="0.25">
      <c r="A64" s="50" t="s">
        <v>90</v>
      </c>
      <c r="B64" s="56">
        <v>0</v>
      </c>
      <c r="C64" s="56">
        <v>2</v>
      </c>
      <c r="D64" s="56">
        <v>68</v>
      </c>
      <c r="E64" s="56">
        <v>2</v>
      </c>
      <c r="F64" s="56">
        <v>0</v>
      </c>
      <c r="G64" s="56">
        <v>0</v>
      </c>
      <c r="H64" s="56">
        <v>2</v>
      </c>
      <c r="I64" s="56">
        <v>0</v>
      </c>
      <c r="J64" s="52">
        <f t="shared" si="1"/>
        <v>79</v>
      </c>
      <c r="K64" s="53"/>
      <c r="L64" s="54"/>
      <c r="M64" s="54"/>
    </row>
    <row r="65" spans="1:13" ht="14.25" customHeight="1" x14ac:dyDescent="0.25">
      <c r="A65" s="50" t="s">
        <v>91</v>
      </c>
      <c r="B65" s="56">
        <v>0</v>
      </c>
      <c r="C65" s="56">
        <v>0</v>
      </c>
      <c r="D65" s="56">
        <v>81</v>
      </c>
      <c r="E65" s="56">
        <v>1</v>
      </c>
      <c r="F65" s="56">
        <v>0</v>
      </c>
      <c r="G65" s="56">
        <v>0</v>
      </c>
      <c r="H65" s="56">
        <v>3</v>
      </c>
      <c r="I65" s="56">
        <v>0</v>
      </c>
      <c r="J65" s="52">
        <f t="shared" si="1"/>
        <v>92</v>
      </c>
      <c r="K65" s="54">
        <f>J65+J64</f>
        <v>171</v>
      </c>
      <c r="L65" s="54">
        <f>SUM(J62:J65)</f>
        <v>360</v>
      </c>
      <c r="M65" s="54">
        <f>SUM(C62:I65)</f>
        <v>330</v>
      </c>
    </row>
    <row r="66" spans="1:13" ht="14.25" customHeight="1" x14ac:dyDescent="0.25">
      <c r="A66" s="50" t="s">
        <v>92</v>
      </c>
      <c r="B66" s="56">
        <v>0</v>
      </c>
      <c r="C66" s="56">
        <v>0</v>
      </c>
      <c r="D66" s="56">
        <v>76</v>
      </c>
      <c r="E66" s="56">
        <v>0</v>
      </c>
      <c r="F66" s="56">
        <v>0</v>
      </c>
      <c r="G66" s="56">
        <v>0</v>
      </c>
      <c r="H66" s="56">
        <v>1</v>
      </c>
      <c r="I66" s="56">
        <v>0</v>
      </c>
      <c r="J66" s="52">
        <f t="shared" si="1"/>
        <v>79</v>
      </c>
      <c r="K66" s="53"/>
      <c r="L66" s="53"/>
      <c r="M66" s="53"/>
    </row>
    <row r="67" spans="1:13" ht="14.25" customHeight="1" x14ac:dyDescent="0.25">
      <c r="A67" s="50" t="s">
        <v>93</v>
      </c>
      <c r="B67" s="56">
        <v>0</v>
      </c>
      <c r="C67" s="56">
        <v>1</v>
      </c>
      <c r="D67" s="56">
        <v>55</v>
      </c>
      <c r="E67" s="56">
        <v>0</v>
      </c>
      <c r="F67" s="56">
        <v>0</v>
      </c>
      <c r="G67" s="56">
        <v>1</v>
      </c>
      <c r="H67" s="56">
        <v>1</v>
      </c>
      <c r="I67" s="56">
        <v>0</v>
      </c>
      <c r="J67" s="52">
        <f t="shared" si="1"/>
        <v>60.5</v>
      </c>
      <c r="K67" s="54">
        <f>J67+J66</f>
        <v>139.5</v>
      </c>
      <c r="L67" s="55"/>
      <c r="M67" s="55"/>
    </row>
    <row r="68" spans="1:13" ht="14.25" customHeight="1" x14ac:dyDescent="0.25">
      <c r="A68" s="50" t="s">
        <v>94</v>
      </c>
      <c r="B68" s="56">
        <v>0</v>
      </c>
      <c r="C68" s="56">
        <v>0</v>
      </c>
      <c r="D68" s="56">
        <v>55</v>
      </c>
      <c r="E68" s="56">
        <v>2</v>
      </c>
      <c r="F68" s="56">
        <v>0</v>
      </c>
      <c r="G68" s="56">
        <v>1</v>
      </c>
      <c r="H68" s="56">
        <v>3</v>
      </c>
      <c r="I68" s="56">
        <v>1</v>
      </c>
      <c r="J68" s="52">
        <f t="shared" si="1"/>
        <v>72</v>
      </c>
      <c r="K68" s="53"/>
      <c r="L68" s="54"/>
      <c r="M68" s="54"/>
    </row>
    <row r="69" spans="1:13" ht="14.25" customHeight="1" x14ac:dyDescent="0.25">
      <c r="A69" s="50" t="s">
        <v>95</v>
      </c>
      <c r="B69" s="56">
        <v>0</v>
      </c>
      <c r="C69" s="56">
        <v>0</v>
      </c>
      <c r="D69" s="56">
        <v>51</v>
      </c>
      <c r="E69" s="56">
        <v>1</v>
      </c>
      <c r="F69" s="56">
        <v>0</v>
      </c>
      <c r="G69" s="56">
        <v>0</v>
      </c>
      <c r="H69" s="56">
        <v>1</v>
      </c>
      <c r="I69" s="56">
        <v>0</v>
      </c>
      <c r="J69" s="52">
        <f t="shared" si="1"/>
        <v>56</v>
      </c>
      <c r="K69" s="54">
        <f>J69+J68</f>
        <v>128</v>
      </c>
      <c r="L69" s="54">
        <f>SUM(J66:J69)</f>
        <v>267.5</v>
      </c>
      <c r="M69" s="54">
        <f>SUM(C66:I69)</f>
        <v>250</v>
      </c>
    </row>
    <row r="70" spans="1:13" ht="14.25" customHeight="1" x14ac:dyDescent="0.25">
      <c r="A70" s="50" t="s">
        <v>96</v>
      </c>
      <c r="B70" s="51"/>
      <c r="C70" s="51"/>
      <c r="D70" s="51"/>
      <c r="E70" s="51"/>
      <c r="F70" s="51"/>
      <c r="G70" s="51"/>
      <c r="H70" s="51"/>
      <c r="I70" s="51"/>
      <c r="J70" s="52">
        <f t="shared" si="1"/>
        <v>0</v>
      </c>
      <c r="K70" s="53"/>
      <c r="L70" s="53"/>
      <c r="M70" s="53"/>
    </row>
    <row r="71" spans="1:13" ht="14.25" customHeight="1" x14ac:dyDescent="0.25">
      <c r="A71" s="50" t="s">
        <v>97</v>
      </c>
      <c r="B71" s="51"/>
      <c r="C71" s="51"/>
      <c r="D71" s="51"/>
      <c r="E71" s="51"/>
      <c r="F71" s="51"/>
      <c r="G71" s="51"/>
      <c r="H71" s="51"/>
      <c r="I71" s="51"/>
      <c r="J71" s="52">
        <f t="shared" si="1"/>
        <v>0</v>
      </c>
      <c r="K71" s="54">
        <f>J71+J70</f>
        <v>0</v>
      </c>
      <c r="L71" s="55"/>
      <c r="M71" s="55"/>
    </row>
    <row r="72" spans="1:13" ht="14.25" customHeight="1" x14ac:dyDescent="0.25">
      <c r="A72" s="50" t="s">
        <v>98</v>
      </c>
      <c r="B72" s="51"/>
      <c r="C72" s="51"/>
      <c r="D72" s="51"/>
      <c r="E72" s="51"/>
      <c r="F72" s="51"/>
      <c r="G72" s="51"/>
      <c r="H72" s="51"/>
      <c r="I72" s="51"/>
      <c r="J72" s="52">
        <f t="shared" si="1"/>
        <v>0</v>
      </c>
      <c r="K72" s="53"/>
      <c r="L72" s="54"/>
      <c r="M72" s="54"/>
    </row>
    <row r="73" spans="1:13" ht="14.25" customHeight="1" x14ac:dyDescent="0.25">
      <c r="A73" s="58" t="s">
        <v>99</v>
      </c>
      <c r="B73" s="51"/>
      <c r="C73" s="51"/>
      <c r="D73" s="51"/>
      <c r="E73" s="51"/>
      <c r="F73" s="51"/>
      <c r="G73" s="51"/>
      <c r="H73" s="51"/>
      <c r="I73" s="51"/>
      <c r="J73" s="52">
        <f t="shared" si="1"/>
        <v>0</v>
      </c>
      <c r="K73" s="54">
        <f>J73+J72</f>
        <v>0</v>
      </c>
      <c r="L73" s="54">
        <f>SUM(J70:J73)</f>
        <v>0</v>
      </c>
      <c r="M73" s="54">
        <f>SUM(C70:I73)</f>
        <v>0</v>
      </c>
    </row>
    <row r="74" spans="1:13" ht="14.25" customHeight="1" x14ac:dyDescent="0.25">
      <c r="A74" s="59" t="s">
        <v>100</v>
      </c>
      <c r="B74" s="51"/>
      <c r="C74" s="51"/>
      <c r="D74" s="51"/>
      <c r="E74" s="51"/>
      <c r="F74" s="51"/>
      <c r="G74" s="51"/>
      <c r="H74" s="51"/>
      <c r="I74" s="51"/>
      <c r="J74" s="52">
        <f t="shared" si="1"/>
        <v>0</v>
      </c>
      <c r="K74" s="53"/>
      <c r="L74" s="53"/>
      <c r="M74" s="53"/>
    </row>
    <row r="75" spans="1:13" ht="14.25" customHeight="1" x14ac:dyDescent="0.25">
      <c r="A75" s="59" t="s">
        <v>101</v>
      </c>
      <c r="B75" s="51"/>
      <c r="C75" s="51"/>
      <c r="D75" s="51"/>
      <c r="E75" s="51"/>
      <c r="F75" s="51"/>
      <c r="G75" s="51"/>
      <c r="H75" s="51"/>
      <c r="I75" s="51"/>
      <c r="J75" s="52">
        <f t="shared" si="1"/>
        <v>0</v>
      </c>
      <c r="K75" s="54">
        <f>J75+J74</f>
        <v>0</v>
      </c>
      <c r="L75" s="55"/>
      <c r="M75" s="55"/>
    </row>
    <row r="76" spans="1:13" ht="14.25" customHeight="1" x14ac:dyDescent="0.25">
      <c r="A76" s="59" t="s">
        <v>102</v>
      </c>
      <c r="B76" s="51"/>
      <c r="C76" s="51"/>
      <c r="D76" s="51"/>
      <c r="E76" s="51"/>
      <c r="F76" s="51"/>
      <c r="G76" s="51"/>
      <c r="H76" s="51"/>
      <c r="I76" s="51"/>
      <c r="J76" s="52">
        <f t="shared" si="1"/>
        <v>0</v>
      </c>
      <c r="K76" s="53"/>
      <c r="L76" s="54"/>
      <c r="M76" s="54"/>
    </row>
    <row r="77" spans="1:13" ht="14.25" customHeight="1" x14ac:dyDescent="0.25">
      <c r="A77" s="59" t="s">
        <v>103</v>
      </c>
      <c r="B77" s="51"/>
      <c r="C77" s="51"/>
      <c r="D77" s="51"/>
      <c r="E77" s="51"/>
      <c r="F77" s="51"/>
      <c r="G77" s="51"/>
      <c r="H77" s="51"/>
      <c r="I77" s="51"/>
      <c r="J77" s="52">
        <f t="shared" si="1"/>
        <v>0</v>
      </c>
      <c r="K77" s="54">
        <f>J77+J76</f>
        <v>0</v>
      </c>
      <c r="L77" s="54">
        <f>SUM(J74:J77)</f>
        <v>0</v>
      </c>
      <c r="M77" s="54">
        <f>SUM(C74:I77)</f>
        <v>0</v>
      </c>
    </row>
    <row r="78" spans="1:13" ht="14.25" customHeight="1" x14ac:dyDescent="0.25">
      <c r="A78" s="59" t="s">
        <v>104</v>
      </c>
      <c r="B78" s="51"/>
      <c r="C78" s="51"/>
      <c r="D78" s="51"/>
      <c r="E78" s="51"/>
      <c r="F78" s="51"/>
      <c r="G78" s="51"/>
      <c r="H78" s="51"/>
      <c r="I78" s="51"/>
      <c r="J78" s="52">
        <f t="shared" ref="J78:J109" si="2">SUMPRODUCT(B78:I78,$B$11:$I$11)</f>
        <v>0</v>
      </c>
      <c r="K78" s="53"/>
      <c r="L78" s="53"/>
      <c r="M78" s="53"/>
    </row>
    <row r="79" spans="1:13" ht="14.25" customHeight="1" x14ac:dyDescent="0.25">
      <c r="A79" s="59" t="s">
        <v>105</v>
      </c>
      <c r="B79" s="51"/>
      <c r="C79" s="51"/>
      <c r="D79" s="51"/>
      <c r="E79" s="51"/>
      <c r="F79" s="51"/>
      <c r="G79" s="51"/>
      <c r="H79" s="51"/>
      <c r="I79" s="51"/>
      <c r="J79" s="52">
        <f t="shared" si="2"/>
        <v>0</v>
      </c>
      <c r="K79" s="54">
        <f>J79+J78</f>
        <v>0</v>
      </c>
      <c r="L79" s="55"/>
      <c r="M79" s="55"/>
    </row>
    <row r="80" spans="1:13" ht="14.25" customHeight="1" x14ac:dyDescent="0.25">
      <c r="A80" s="59" t="s">
        <v>106</v>
      </c>
      <c r="B80" s="51"/>
      <c r="C80" s="51"/>
      <c r="D80" s="51"/>
      <c r="E80" s="51"/>
      <c r="F80" s="51"/>
      <c r="G80" s="51"/>
      <c r="H80" s="51"/>
      <c r="I80" s="51"/>
      <c r="J80" s="52">
        <f t="shared" si="2"/>
        <v>0</v>
      </c>
      <c r="K80" s="53"/>
      <c r="L80" s="54"/>
      <c r="M80" s="54"/>
    </row>
    <row r="81" spans="1:13" ht="14.25" customHeight="1" x14ac:dyDescent="0.25">
      <c r="A81" s="59" t="s">
        <v>107</v>
      </c>
      <c r="B81" s="51"/>
      <c r="C81" s="51"/>
      <c r="D81" s="51"/>
      <c r="E81" s="51"/>
      <c r="F81" s="51"/>
      <c r="G81" s="51"/>
      <c r="H81" s="51"/>
      <c r="I81" s="51"/>
      <c r="J81" s="52">
        <f t="shared" si="2"/>
        <v>0</v>
      </c>
      <c r="K81" s="54">
        <f>J81+J80</f>
        <v>0</v>
      </c>
      <c r="L81" s="54">
        <f>SUM(J78:J81)</f>
        <v>0</v>
      </c>
      <c r="M81" s="54">
        <f>SUM(C78:I81)</f>
        <v>0</v>
      </c>
    </row>
    <row r="82" spans="1:13" ht="14.25" customHeight="1" x14ac:dyDescent="0.45">
      <c r="A82" s="60" t="s">
        <v>108</v>
      </c>
      <c r="B82" s="61">
        <f>SUM(B$14:B81)</f>
        <v>0</v>
      </c>
      <c r="C82" s="61">
        <f>SUM(C$14:C81)</f>
        <v>28</v>
      </c>
      <c r="D82" s="61">
        <f>SUM(D$14:D81)</f>
        <v>3520</v>
      </c>
      <c r="E82" s="61">
        <f>SUM(E$14:E81)</f>
        <v>48</v>
      </c>
      <c r="F82" s="61">
        <f>SUM(F$14:F81)</f>
        <v>1</v>
      </c>
      <c r="G82" s="61">
        <f>SUM(G$14:G81)</f>
        <v>129</v>
      </c>
      <c r="H82" s="61">
        <f>SUM(H$14:H81)</f>
        <v>234</v>
      </c>
      <c r="I82" s="61">
        <f>SUM(I$14:I81)</f>
        <v>9</v>
      </c>
      <c r="J82" s="61">
        <f>SUM(B82:I82)</f>
        <v>3969</v>
      </c>
      <c r="K82" s="62"/>
      <c r="L82" s="63"/>
      <c r="M82" s="63"/>
    </row>
    <row r="83" spans="1:13" ht="14.25" customHeight="1" x14ac:dyDescent="0.25">
      <c r="L83" s="64"/>
      <c r="M83" s="64"/>
    </row>
    <row r="84" spans="1:13" ht="14.25" customHeight="1" x14ac:dyDescent="0.25">
      <c r="L84" s="65"/>
      <c r="M84" s="65"/>
    </row>
    <row r="85" spans="1:13" ht="14.25" customHeight="1" x14ac:dyDescent="0.25">
      <c r="L85" s="65"/>
      <c r="M85" s="65"/>
    </row>
    <row r="86" spans="1:13" ht="14.25" customHeight="1" x14ac:dyDescent="0.25"/>
    <row r="87" spans="1:13" ht="14.25" customHeight="1" x14ac:dyDescent="0.25"/>
    <row r="88" spans="1:13" ht="14.25" customHeight="1" x14ac:dyDescent="0.25"/>
    <row r="89" spans="1:13" ht="14.25" customHeight="1" x14ac:dyDescent="0.25"/>
    <row r="90" spans="1:13" ht="14.25" customHeight="1" x14ac:dyDescent="0.25"/>
    <row r="91" spans="1:13" ht="14.25" customHeight="1" x14ac:dyDescent="0.25"/>
    <row r="92" spans="1:13" ht="14.25" customHeight="1" x14ac:dyDescent="0.25"/>
    <row r="93" spans="1:13" ht="14.25" customHeight="1" x14ac:dyDescent="0.25"/>
    <row r="94" spans="1:13" ht="14.25" customHeight="1" x14ac:dyDescent="0.25"/>
    <row r="95" spans="1:13" ht="14.25" customHeight="1" x14ac:dyDescent="0.25"/>
    <row r="96" spans="1:1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</sheetData>
  <mergeCells count="2">
    <mergeCell ref="A3:M3"/>
    <mergeCell ref="A4:M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975"/>
  <sheetViews>
    <sheetView zoomScale="85" zoomScaleNormal="85" workbookViewId="0"/>
  </sheetViews>
  <sheetFormatPr defaultColWidth="15.90625" defaultRowHeight="12.75" customHeight="1" x14ac:dyDescent="0.25"/>
  <cols>
    <col min="1" max="1" width="14.453125" customWidth="1"/>
    <col min="2" max="9" width="6.90625" customWidth="1"/>
    <col min="10" max="13" width="7.453125" customWidth="1"/>
    <col min="16377" max="16384" width="11.54296875" customWidth="1"/>
  </cols>
  <sheetData>
    <row r="1" spans="1:13" ht="14.2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8.75" customHeight="1" x14ac:dyDescent="0.4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35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4.25" customHeight="1" x14ac:dyDescent="0.3">
      <c r="A5" s="24" t="s">
        <v>6</v>
      </c>
      <c r="B5" s="25"/>
      <c r="C5" s="26"/>
      <c r="D5" s="27"/>
      <c r="E5" s="27"/>
      <c r="F5" s="25"/>
      <c r="G5" s="25"/>
      <c r="H5" s="28"/>
      <c r="I5" s="26"/>
      <c r="J5" s="27" t="s">
        <v>3</v>
      </c>
      <c r="K5" s="25">
        <v>0</v>
      </c>
      <c r="L5" s="29"/>
      <c r="M5" s="30"/>
    </row>
    <row r="6" spans="1:13" ht="14.25" customHeight="1" x14ac:dyDescent="0.3">
      <c r="A6" s="31">
        <f>Deckbl.!I11</f>
        <v>45944</v>
      </c>
      <c r="B6" s="9"/>
      <c r="C6" s="8"/>
      <c r="D6" s="8"/>
      <c r="E6" s="9"/>
      <c r="F6" s="9"/>
      <c r="G6" s="9"/>
      <c r="H6" s="9"/>
      <c r="I6" s="8"/>
      <c r="J6" s="12" t="s">
        <v>9</v>
      </c>
      <c r="K6" s="32" t="str">
        <f>Deckbl.!I12</f>
        <v>9-14 ° sonnig</v>
      </c>
      <c r="L6" s="33"/>
      <c r="M6" s="34"/>
    </row>
    <row r="7" spans="1:13" ht="14.25" customHeight="1" x14ac:dyDescent="0.3">
      <c r="A7" s="35"/>
      <c r="B7" s="12" t="s">
        <v>14</v>
      </c>
      <c r="C7" s="36" t="str">
        <f>Deckbl.!C8</f>
        <v>B122 / Badhaller Straße / Holznerweg (Bad Hall)</v>
      </c>
      <c r="D7" s="33"/>
      <c r="E7" s="37"/>
      <c r="F7" s="37"/>
      <c r="G7" s="37"/>
      <c r="H7" s="37"/>
      <c r="I7" s="38"/>
      <c r="J7" s="36"/>
      <c r="K7" s="37"/>
      <c r="L7" s="37"/>
      <c r="M7" s="39"/>
    </row>
    <row r="8" spans="1:13" ht="14.25" customHeight="1" x14ac:dyDescent="0.3">
      <c r="A8" s="35"/>
      <c r="B8" s="12" t="s">
        <v>15</v>
      </c>
      <c r="C8" s="33"/>
      <c r="D8" s="33"/>
      <c r="E8" s="37"/>
      <c r="F8" s="37"/>
      <c r="G8" s="37"/>
      <c r="H8" s="37"/>
      <c r="I8" s="38" t="s">
        <v>7</v>
      </c>
      <c r="J8" s="36" t="s">
        <v>16</v>
      </c>
      <c r="K8" s="40"/>
      <c r="L8" s="37"/>
      <c r="M8" s="39"/>
    </row>
    <row r="9" spans="1:13" ht="14.25" customHeight="1" x14ac:dyDescent="0.3">
      <c r="A9" s="35"/>
      <c r="B9" s="12" t="s">
        <v>17</v>
      </c>
      <c r="C9" s="41" t="s">
        <v>116</v>
      </c>
      <c r="D9" s="8"/>
      <c r="E9" s="9"/>
      <c r="F9" s="9"/>
      <c r="G9" s="9"/>
      <c r="H9" s="9"/>
      <c r="I9" s="12" t="s">
        <v>19</v>
      </c>
      <c r="J9" s="36" t="str">
        <f>Deckbl.!C11</f>
        <v>7-19 Uhr</v>
      </c>
      <c r="K9" s="37"/>
      <c r="L9" s="37"/>
      <c r="M9" s="39"/>
    </row>
    <row r="10" spans="1:13" ht="14.25" customHeight="1" x14ac:dyDescent="0.3">
      <c r="A10" s="35"/>
      <c r="B10" s="38" t="s">
        <v>20</v>
      </c>
      <c r="C10" s="42"/>
      <c r="D10" s="33"/>
      <c r="E10" s="37"/>
      <c r="F10" s="37"/>
      <c r="G10" s="37"/>
      <c r="H10" s="37"/>
      <c r="I10" s="38"/>
      <c r="J10" s="36"/>
      <c r="K10" s="37"/>
      <c r="L10" s="36"/>
      <c r="M10" s="39"/>
    </row>
    <row r="11" spans="1:13" ht="14.25" customHeight="1" x14ac:dyDescent="0.25">
      <c r="A11" s="43" t="s">
        <v>21</v>
      </c>
      <c r="B11" s="44">
        <v>0.3</v>
      </c>
      <c r="C11" s="44">
        <v>0.5</v>
      </c>
      <c r="D11" s="44">
        <v>1</v>
      </c>
      <c r="E11" s="44">
        <v>2</v>
      </c>
      <c r="F11" s="44">
        <v>2</v>
      </c>
      <c r="G11" s="44">
        <v>2</v>
      </c>
      <c r="H11" s="44">
        <v>3</v>
      </c>
      <c r="I11" s="44">
        <v>2</v>
      </c>
      <c r="J11" s="45"/>
      <c r="K11" s="45"/>
      <c r="L11" s="45"/>
      <c r="M11" s="45"/>
    </row>
    <row r="12" spans="1:13" ht="14.25" customHeight="1" x14ac:dyDescent="0.25">
      <c r="A12" s="46"/>
      <c r="B12" s="24"/>
      <c r="C12" s="47" t="s">
        <v>22</v>
      </c>
      <c r="D12" s="24" t="s">
        <v>23</v>
      </c>
      <c r="E12" s="47" t="s">
        <v>24</v>
      </c>
      <c r="F12" s="47" t="s">
        <v>25</v>
      </c>
      <c r="G12" s="24" t="s">
        <v>26</v>
      </c>
      <c r="H12" s="47" t="s">
        <v>27</v>
      </c>
      <c r="I12" s="47" t="s">
        <v>28</v>
      </c>
      <c r="J12" s="48" t="s">
        <v>29</v>
      </c>
      <c r="K12" s="48" t="s">
        <v>29</v>
      </c>
      <c r="L12" s="48" t="s">
        <v>29</v>
      </c>
      <c r="M12" s="48" t="s">
        <v>30</v>
      </c>
    </row>
    <row r="13" spans="1:13" ht="14.25" customHeight="1" x14ac:dyDescent="0.25">
      <c r="A13" s="49" t="s">
        <v>31</v>
      </c>
      <c r="B13" s="47" t="s">
        <v>32</v>
      </c>
      <c r="C13" s="47" t="s">
        <v>30</v>
      </c>
      <c r="D13" s="47" t="s">
        <v>33</v>
      </c>
      <c r="E13" s="47" t="s">
        <v>34</v>
      </c>
      <c r="F13" s="47" t="s">
        <v>34</v>
      </c>
      <c r="G13" s="47"/>
      <c r="H13" s="47" t="s">
        <v>35</v>
      </c>
      <c r="I13" s="47" t="s">
        <v>36</v>
      </c>
      <c r="J13" s="48" t="s">
        <v>37</v>
      </c>
      <c r="K13" s="48" t="s">
        <v>38</v>
      </c>
      <c r="L13" s="48" t="s">
        <v>39</v>
      </c>
      <c r="M13" s="48" t="s">
        <v>39</v>
      </c>
    </row>
    <row r="14" spans="1:13" ht="14.25" customHeight="1" x14ac:dyDescent="0.25">
      <c r="A14" s="50" t="s">
        <v>40</v>
      </c>
      <c r="B14" s="51"/>
      <c r="C14" s="51"/>
      <c r="D14" s="51"/>
      <c r="E14" s="51"/>
      <c r="F14" s="51"/>
      <c r="G14" s="51"/>
      <c r="H14" s="51"/>
      <c r="I14" s="51"/>
      <c r="J14" s="52">
        <f t="shared" ref="J14:J45" si="0">SUMPRODUCT(B14:I14,$B$11:$I$11)</f>
        <v>0</v>
      </c>
      <c r="K14" s="53"/>
      <c r="L14" s="53"/>
      <c r="M14" s="53"/>
    </row>
    <row r="15" spans="1:13" ht="14.25" customHeight="1" x14ac:dyDescent="0.25">
      <c r="A15" s="50" t="s">
        <v>41</v>
      </c>
      <c r="B15" s="51"/>
      <c r="C15" s="51"/>
      <c r="D15" s="51"/>
      <c r="E15" s="51"/>
      <c r="F15" s="51"/>
      <c r="G15" s="51"/>
      <c r="H15" s="51"/>
      <c r="I15" s="51"/>
      <c r="J15" s="52">
        <f t="shared" si="0"/>
        <v>0</v>
      </c>
      <c r="K15" s="54">
        <f>J15+J14</f>
        <v>0</v>
      </c>
      <c r="L15" s="55"/>
      <c r="M15" s="55"/>
    </row>
    <row r="16" spans="1:13" ht="14.25" customHeight="1" x14ac:dyDescent="0.25">
      <c r="A16" s="50" t="s">
        <v>42</v>
      </c>
      <c r="B16" s="51"/>
      <c r="C16" s="51"/>
      <c r="D16" s="51"/>
      <c r="E16" s="51"/>
      <c r="F16" s="51"/>
      <c r="G16" s="51"/>
      <c r="H16" s="51"/>
      <c r="I16" s="51"/>
      <c r="J16" s="52">
        <f t="shared" si="0"/>
        <v>0</v>
      </c>
      <c r="K16" s="53"/>
      <c r="L16" s="54"/>
      <c r="M16" s="54"/>
    </row>
    <row r="17" spans="1:13" ht="14.25" customHeight="1" x14ac:dyDescent="0.25">
      <c r="A17" s="50" t="s">
        <v>43</v>
      </c>
      <c r="B17" s="51"/>
      <c r="C17" s="51"/>
      <c r="D17" s="51"/>
      <c r="E17" s="51"/>
      <c r="F17" s="51"/>
      <c r="G17" s="51"/>
      <c r="H17" s="51"/>
      <c r="I17" s="51"/>
      <c r="J17" s="52">
        <f t="shared" si="0"/>
        <v>0</v>
      </c>
      <c r="K17" s="54">
        <f>J17+J16</f>
        <v>0</v>
      </c>
      <c r="L17" s="54">
        <f>SUM(J14:J17)</f>
        <v>0</v>
      </c>
      <c r="M17" s="54">
        <f>SUM(C14:I17)</f>
        <v>0</v>
      </c>
    </row>
    <row r="18" spans="1:13" ht="14.25" customHeight="1" x14ac:dyDescent="0.25">
      <c r="A18" s="50" t="s">
        <v>44</v>
      </c>
      <c r="B18" s="51"/>
      <c r="C18" s="51"/>
      <c r="D18" s="51"/>
      <c r="E18" s="51"/>
      <c r="F18" s="51"/>
      <c r="G18" s="51"/>
      <c r="H18" s="51"/>
      <c r="I18" s="51"/>
      <c r="J18" s="52">
        <f t="shared" si="0"/>
        <v>0</v>
      </c>
      <c r="K18" s="53"/>
      <c r="L18" s="53"/>
      <c r="M18" s="53"/>
    </row>
    <row r="19" spans="1:13" ht="14.25" customHeight="1" x14ac:dyDescent="0.25">
      <c r="A19" s="50" t="s">
        <v>45</v>
      </c>
      <c r="B19" s="51"/>
      <c r="C19" s="51"/>
      <c r="D19" s="51"/>
      <c r="E19" s="51"/>
      <c r="F19" s="51"/>
      <c r="G19" s="51"/>
      <c r="H19" s="51"/>
      <c r="I19" s="51"/>
      <c r="J19" s="52">
        <f t="shared" si="0"/>
        <v>0</v>
      </c>
      <c r="K19" s="54">
        <f>J19+J18</f>
        <v>0</v>
      </c>
      <c r="L19" s="55"/>
      <c r="M19" s="55"/>
    </row>
    <row r="20" spans="1:13" ht="14.25" customHeight="1" x14ac:dyDescent="0.25">
      <c r="A20" s="50" t="s">
        <v>46</v>
      </c>
      <c r="B20" s="51"/>
      <c r="C20" s="51"/>
      <c r="D20" s="51"/>
      <c r="E20" s="51"/>
      <c r="F20" s="51"/>
      <c r="G20" s="51"/>
      <c r="H20" s="51"/>
      <c r="I20" s="51"/>
      <c r="J20" s="52">
        <f t="shared" si="0"/>
        <v>0</v>
      </c>
      <c r="K20" s="53"/>
      <c r="L20" s="54"/>
      <c r="M20" s="54"/>
    </row>
    <row r="21" spans="1:13" ht="14.25" customHeight="1" x14ac:dyDescent="0.25">
      <c r="A21" s="50" t="s">
        <v>47</v>
      </c>
      <c r="B21" s="51"/>
      <c r="C21" s="51"/>
      <c r="D21" s="51"/>
      <c r="E21" s="51"/>
      <c r="F21" s="51"/>
      <c r="G21" s="51"/>
      <c r="H21" s="51"/>
      <c r="I21" s="51"/>
      <c r="J21" s="52">
        <f t="shared" si="0"/>
        <v>0</v>
      </c>
      <c r="K21" s="54">
        <f>J21+J20</f>
        <v>0</v>
      </c>
      <c r="L21" s="54">
        <f>SUM(J18:J21)</f>
        <v>0</v>
      </c>
      <c r="M21" s="54">
        <f>SUM(C18:I21)</f>
        <v>0</v>
      </c>
    </row>
    <row r="22" spans="1:13" ht="14.25" customHeight="1" x14ac:dyDescent="0.25">
      <c r="A22" s="50" t="s">
        <v>48</v>
      </c>
      <c r="B22" s="56">
        <v>0</v>
      </c>
      <c r="C22" s="56">
        <v>0</v>
      </c>
      <c r="D22" s="56">
        <v>20</v>
      </c>
      <c r="E22" s="56">
        <v>0</v>
      </c>
      <c r="F22" s="56">
        <v>0</v>
      </c>
      <c r="G22" s="56">
        <v>0</v>
      </c>
      <c r="H22" s="56">
        <v>0</v>
      </c>
      <c r="I22" s="56">
        <v>0</v>
      </c>
      <c r="J22" s="52">
        <f t="shared" si="0"/>
        <v>20</v>
      </c>
      <c r="K22" s="53"/>
      <c r="L22" s="53"/>
      <c r="M22" s="53"/>
    </row>
    <row r="23" spans="1:13" ht="14.25" customHeight="1" x14ac:dyDescent="0.25">
      <c r="A23" s="50" t="s">
        <v>49</v>
      </c>
      <c r="B23" s="56">
        <v>0</v>
      </c>
      <c r="C23" s="56">
        <v>0</v>
      </c>
      <c r="D23" s="56">
        <v>41</v>
      </c>
      <c r="E23" s="56">
        <v>1</v>
      </c>
      <c r="F23" s="56">
        <v>0</v>
      </c>
      <c r="G23" s="56">
        <v>0</v>
      </c>
      <c r="H23" s="56">
        <v>0</v>
      </c>
      <c r="I23" s="56">
        <v>0</v>
      </c>
      <c r="J23" s="52">
        <f t="shared" si="0"/>
        <v>43</v>
      </c>
      <c r="K23" s="54">
        <f>J23+J22</f>
        <v>63</v>
      </c>
      <c r="L23" s="55"/>
      <c r="M23" s="55"/>
    </row>
    <row r="24" spans="1:13" ht="14.25" customHeight="1" x14ac:dyDescent="0.25">
      <c r="A24" s="50" t="s">
        <v>50</v>
      </c>
      <c r="B24" s="56">
        <v>0</v>
      </c>
      <c r="C24" s="56">
        <v>0</v>
      </c>
      <c r="D24" s="56">
        <v>23</v>
      </c>
      <c r="E24" s="56">
        <v>1</v>
      </c>
      <c r="F24" s="56">
        <v>0</v>
      </c>
      <c r="G24" s="56">
        <v>0</v>
      </c>
      <c r="H24" s="56">
        <v>0</v>
      </c>
      <c r="I24" s="56">
        <v>0</v>
      </c>
      <c r="J24" s="52">
        <f t="shared" si="0"/>
        <v>25</v>
      </c>
      <c r="K24" s="53"/>
      <c r="L24" s="54"/>
      <c r="M24" s="54"/>
    </row>
    <row r="25" spans="1:13" ht="14.25" customHeight="1" x14ac:dyDescent="0.25">
      <c r="A25" s="50" t="s">
        <v>51</v>
      </c>
      <c r="B25" s="56">
        <v>0</v>
      </c>
      <c r="C25" s="56">
        <v>0</v>
      </c>
      <c r="D25" s="56">
        <v>14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2">
        <f t="shared" si="0"/>
        <v>14</v>
      </c>
      <c r="K25" s="54">
        <f>J25+J24</f>
        <v>39</v>
      </c>
      <c r="L25" s="54">
        <f>SUM(J22:J25)</f>
        <v>102</v>
      </c>
      <c r="M25" s="54">
        <f>SUM(C22:I25)</f>
        <v>100</v>
      </c>
    </row>
    <row r="26" spans="1:13" ht="14.25" customHeight="1" x14ac:dyDescent="0.25">
      <c r="A26" s="50" t="s">
        <v>52</v>
      </c>
      <c r="B26" s="56">
        <v>0</v>
      </c>
      <c r="C26" s="56">
        <v>0</v>
      </c>
      <c r="D26" s="56">
        <v>19</v>
      </c>
      <c r="E26" s="56">
        <v>0</v>
      </c>
      <c r="F26" s="56">
        <v>0</v>
      </c>
      <c r="G26" s="56">
        <v>1</v>
      </c>
      <c r="H26" s="56">
        <v>0</v>
      </c>
      <c r="I26" s="56">
        <v>0</v>
      </c>
      <c r="J26" s="52">
        <f t="shared" si="0"/>
        <v>21</v>
      </c>
      <c r="K26" s="53"/>
      <c r="L26" s="53"/>
      <c r="M26" s="53"/>
    </row>
    <row r="27" spans="1:13" ht="14.25" customHeight="1" x14ac:dyDescent="0.25">
      <c r="A27" s="50" t="s">
        <v>53</v>
      </c>
      <c r="B27" s="56">
        <v>0</v>
      </c>
      <c r="C27" s="56">
        <v>0</v>
      </c>
      <c r="D27" s="56">
        <v>14</v>
      </c>
      <c r="E27" s="56">
        <v>0</v>
      </c>
      <c r="F27" s="56">
        <v>0</v>
      </c>
      <c r="G27" s="56">
        <v>1</v>
      </c>
      <c r="H27" s="56">
        <v>0</v>
      </c>
      <c r="I27" s="56">
        <v>0</v>
      </c>
      <c r="J27" s="52">
        <f t="shared" si="0"/>
        <v>16</v>
      </c>
      <c r="K27" s="54">
        <f>J27+J26</f>
        <v>37</v>
      </c>
      <c r="L27" s="55"/>
      <c r="M27" s="55"/>
    </row>
    <row r="28" spans="1:13" ht="14.25" customHeight="1" x14ac:dyDescent="0.25">
      <c r="A28" s="50" t="s">
        <v>54</v>
      </c>
      <c r="B28" s="56">
        <v>0</v>
      </c>
      <c r="C28" s="56">
        <v>0</v>
      </c>
      <c r="D28" s="56">
        <v>21</v>
      </c>
      <c r="E28" s="56">
        <v>1</v>
      </c>
      <c r="F28" s="56">
        <v>0</v>
      </c>
      <c r="G28" s="56">
        <v>2</v>
      </c>
      <c r="H28" s="56">
        <v>1</v>
      </c>
      <c r="I28" s="56">
        <v>0</v>
      </c>
      <c r="J28" s="52">
        <f t="shared" si="0"/>
        <v>30</v>
      </c>
      <c r="K28" s="53"/>
      <c r="L28" s="54"/>
      <c r="M28" s="54"/>
    </row>
    <row r="29" spans="1:13" ht="14.25" customHeight="1" x14ac:dyDescent="0.25">
      <c r="A29" s="50" t="s">
        <v>55</v>
      </c>
      <c r="B29" s="56">
        <v>0</v>
      </c>
      <c r="C29" s="56">
        <v>0</v>
      </c>
      <c r="D29" s="56">
        <v>12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52">
        <f t="shared" si="0"/>
        <v>12</v>
      </c>
      <c r="K29" s="54">
        <f>J29+J28</f>
        <v>42</v>
      </c>
      <c r="L29" s="54">
        <f>SUM(J26:J29)</f>
        <v>79</v>
      </c>
      <c r="M29" s="54">
        <f>SUM(C26:I29)</f>
        <v>72</v>
      </c>
    </row>
    <row r="30" spans="1:13" ht="14.25" customHeight="1" x14ac:dyDescent="0.25">
      <c r="A30" s="50" t="s">
        <v>56</v>
      </c>
      <c r="B30" s="56">
        <v>0</v>
      </c>
      <c r="C30" s="56">
        <v>0</v>
      </c>
      <c r="D30" s="56">
        <v>14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2">
        <f t="shared" si="0"/>
        <v>14</v>
      </c>
      <c r="K30" s="53"/>
      <c r="L30" s="53"/>
      <c r="M30" s="53"/>
    </row>
    <row r="31" spans="1:13" ht="14.25" customHeight="1" x14ac:dyDescent="0.25">
      <c r="A31" s="50" t="s">
        <v>57</v>
      </c>
      <c r="B31" s="56">
        <v>0</v>
      </c>
      <c r="C31" s="56">
        <v>0</v>
      </c>
      <c r="D31" s="56">
        <v>11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2">
        <f t="shared" si="0"/>
        <v>11</v>
      </c>
      <c r="K31" s="54">
        <f>J31+J30</f>
        <v>25</v>
      </c>
      <c r="L31" s="55"/>
      <c r="M31" s="55"/>
    </row>
    <row r="32" spans="1:13" ht="14.25" customHeight="1" x14ac:dyDescent="0.25">
      <c r="A32" s="50" t="s">
        <v>58</v>
      </c>
      <c r="B32" s="56">
        <v>0</v>
      </c>
      <c r="C32" s="56">
        <v>0</v>
      </c>
      <c r="D32" s="56">
        <v>15</v>
      </c>
      <c r="E32" s="56">
        <v>1</v>
      </c>
      <c r="F32" s="56">
        <v>0</v>
      </c>
      <c r="G32" s="56">
        <v>0</v>
      </c>
      <c r="H32" s="56">
        <v>0</v>
      </c>
      <c r="I32" s="56">
        <v>0</v>
      </c>
      <c r="J32" s="52">
        <f t="shared" si="0"/>
        <v>17</v>
      </c>
      <c r="K32" s="53"/>
      <c r="L32" s="54"/>
      <c r="M32" s="54"/>
    </row>
    <row r="33" spans="1:13" ht="14.25" customHeight="1" x14ac:dyDescent="0.25">
      <c r="A33" s="50" t="s">
        <v>59</v>
      </c>
      <c r="B33" s="56">
        <v>0</v>
      </c>
      <c r="C33" s="56">
        <v>0</v>
      </c>
      <c r="D33" s="56">
        <v>9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2">
        <f t="shared" si="0"/>
        <v>9</v>
      </c>
      <c r="K33" s="54">
        <f>J33+J32</f>
        <v>26</v>
      </c>
      <c r="L33" s="54">
        <f>SUM(J30:J33)</f>
        <v>51</v>
      </c>
      <c r="M33" s="54">
        <f>SUM(C30:I33)</f>
        <v>50</v>
      </c>
    </row>
    <row r="34" spans="1:13" ht="14.25" customHeight="1" x14ac:dyDescent="0.25">
      <c r="A34" s="50" t="s">
        <v>60</v>
      </c>
      <c r="B34" s="56">
        <v>0</v>
      </c>
      <c r="C34" s="56">
        <v>0</v>
      </c>
      <c r="D34" s="56">
        <v>12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2">
        <f t="shared" si="0"/>
        <v>12</v>
      </c>
      <c r="K34" s="53"/>
      <c r="L34" s="53"/>
      <c r="M34" s="53"/>
    </row>
    <row r="35" spans="1:13" ht="14.25" customHeight="1" x14ac:dyDescent="0.25">
      <c r="A35" s="50" t="s">
        <v>61</v>
      </c>
      <c r="B35" s="56">
        <v>0</v>
      </c>
      <c r="C35" s="56">
        <v>0</v>
      </c>
      <c r="D35" s="56">
        <v>13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2">
        <f t="shared" si="0"/>
        <v>13</v>
      </c>
      <c r="K35" s="54">
        <f>J35+J34</f>
        <v>25</v>
      </c>
      <c r="L35" s="55"/>
      <c r="M35" s="55"/>
    </row>
    <row r="36" spans="1:13" ht="14.25" customHeight="1" x14ac:dyDescent="0.25">
      <c r="A36" s="50" t="s">
        <v>62</v>
      </c>
      <c r="B36" s="56">
        <v>0</v>
      </c>
      <c r="C36" s="56">
        <v>0</v>
      </c>
      <c r="D36" s="56">
        <v>13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2">
        <f t="shared" si="0"/>
        <v>13</v>
      </c>
      <c r="K36" s="53"/>
      <c r="L36" s="54"/>
      <c r="M36" s="54"/>
    </row>
    <row r="37" spans="1:13" ht="14.25" customHeight="1" x14ac:dyDescent="0.25">
      <c r="A37" s="50" t="s">
        <v>63</v>
      </c>
      <c r="B37" s="56">
        <v>0</v>
      </c>
      <c r="C37" s="56">
        <v>0</v>
      </c>
      <c r="D37" s="56">
        <v>8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2">
        <f t="shared" si="0"/>
        <v>8</v>
      </c>
      <c r="K37" s="54">
        <f>J37+J36</f>
        <v>21</v>
      </c>
      <c r="L37" s="54">
        <f>SUM(J34:J37)</f>
        <v>46</v>
      </c>
      <c r="M37" s="54">
        <f>SUM(C34:I37)</f>
        <v>46</v>
      </c>
    </row>
    <row r="38" spans="1:13" ht="14.25" customHeight="1" x14ac:dyDescent="0.25">
      <c r="A38" s="50" t="s">
        <v>64</v>
      </c>
      <c r="B38" s="56">
        <v>0</v>
      </c>
      <c r="C38" s="56">
        <v>0</v>
      </c>
      <c r="D38" s="56">
        <v>18</v>
      </c>
      <c r="E38" s="56">
        <v>0</v>
      </c>
      <c r="F38" s="56">
        <v>0</v>
      </c>
      <c r="G38" s="56">
        <v>1</v>
      </c>
      <c r="H38" s="56">
        <v>0</v>
      </c>
      <c r="I38" s="56">
        <v>0</v>
      </c>
      <c r="J38" s="52">
        <f t="shared" si="0"/>
        <v>20</v>
      </c>
      <c r="K38" s="53"/>
      <c r="L38" s="53"/>
      <c r="M38" s="53"/>
    </row>
    <row r="39" spans="1:13" ht="14.25" customHeight="1" x14ac:dyDescent="0.25">
      <c r="A39" s="50" t="s">
        <v>65</v>
      </c>
      <c r="B39" s="56">
        <v>0</v>
      </c>
      <c r="C39" s="56">
        <v>0</v>
      </c>
      <c r="D39" s="56">
        <v>25</v>
      </c>
      <c r="E39" s="56">
        <v>1</v>
      </c>
      <c r="F39" s="56">
        <v>0</v>
      </c>
      <c r="G39" s="56">
        <v>0</v>
      </c>
      <c r="H39" s="56">
        <v>0</v>
      </c>
      <c r="I39" s="56">
        <v>0</v>
      </c>
      <c r="J39" s="52">
        <f t="shared" si="0"/>
        <v>27</v>
      </c>
      <c r="K39" s="54">
        <f>J39+J38</f>
        <v>47</v>
      </c>
      <c r="L39" s="55"/>
      <c r="M39" s="55"/>
    </row>
    <row r="40" spans="1:13" ht="14.25" customHeight="1" x14ac:dyDescent="0.25">
      <c r="A40" s="50" t="s">
        <v>66</v>
      </c>
      <c r="B40" s="56">
        <v>0</v>
      </c>
      <c r="C40" s="56">
        <v>0</v>
      </c>
      <c r="D40" s="56">
        <v>19</v>
      </c>
      <c r="E40" s="56">
        <v>0</v>
      </c>
      <c r="F40" s="56">
        <v>0</v>
      </c>
      <c r="G40" s="56">
        <v>1</v>
      </c>
      <c r="H40" s="56">
        <v>0</v>
      </c>
      <c r="I40" s="56">
        <v>0</v>
      </c>
      <c r="J40" s="52">
        <f t="shared" si="0"/>
        <v>21</v>
      </c>
      <c r="K40" s="53"/>
      <c r="L40" s="54"/>
      <c r="M40" s="54"/>
    </row>
    <row r="41" spans="1:13" ht="14.25" customHeight="1" x14ac:dyDescent="0.25">
      <c r="A41" s="50" t="s">
        <v>67</v>
      </c>
      <c r="B41" s="56">
        <v>0</v>
      </c>
      <c r="C41" s="56">
        <v>1</v>
      </c>
      <c r="D41" s="56">
        <v>16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2">
        <f t="shared" si="0"/>
        <v>16.5</v>
      </c>
      <c r="K41" s="54">
        <f>J41+J40</f>
        <v>37.5</v>
      </c>
      <c r="L41" s="54">
        <f>SUM(J38:J41)</f>
        <v>84.5</v>
      </c>
      <c r="M41" s="54">
        <f>SUM(C38:I41)</f>
        <v>82</v>
      </c>
    </row>
    <row r="42" spans="1:13" ht="14.25" customHeight="1" x14ac:dyDescent="0.25">
      <c r="A42" s="50" t="s">
        <v>68</v>
      </c>
      <c r="B42" s="56">
        <v>0</v>
      </c>
      <c r="C42" s="56">
        <v>0</v>
      </c>
      <c r="D42" s="56">
        <v>24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2">
        <f t="shared" si="0"/>
        <v>24</v>
      </c>
      <c r="K42" s="53"/>
      <c r="L42" s="53"/>
      <c r="M42" s="53"/>
    </row>
    <row r="43" spans="1:13" ht="14.25" customHeight="1" x14ac:dyDescent="0.25">
      <c r="A43" s="50" t="s">
        <v>69</v>
      </c>
      <c r="B43" s="56">
        <v>0</v>
      </c>
      <c r="C43" s="56">
        <v>0</v>
      </c>
      <c r="D43" s="56">
        <v>16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2">
        <f t="shared" si="0"/>
        <v>16</v>
      </c>
      <c r="K43" s="54">
        <f>J43+J42</f>
        <v>40</v>
      </c>
      <c r="L43" s="55"/>
      <c r="M43" s="55"/>
    </row>
    <row r="44" spans="1:13" ht="14.25" customHeight="1" x14ac:dyDescent="0.25">
      <c r="A44" s="50" t="s">
        <v>70</v>
      </c>
      <c r="B44" s="56">
        <v>0</v>
      </c>
      <c r="C44" s="56">
        <v>0</v>
      </c>
      <c r="D44" s="56">
        <v>20</v>
      </c>
      <c r="E44" s="56">
        <v>2</v>
      </c>
      <c r="F44" s="56">
        <v>0</v>
      </c>
      <c r="G44" s="56">
        <v>0</v>
      </c>
      <c r="H44" s="56">
        <v>0</v>
      </c>
      <c r="I44" s="56">
        <v>0</v>
      </c>
      <c r="J44" s="52">
        <f t="shared" si="0"/>
        <v>24</v>
      </c>
      <c r="K44" s="53"/>
      <c r="L44" s="54"/>
      <c r="M44" s="54"/>
    </row>
    <row r="45" spans="1:13" ht="14.25" customHeight="1" x14ac:dyDescent="0.25">
      <c r="A45" s="50" t="s">
        <v>71</v>
      </c>
      <c r="B45" s="56">
        <v>0</v>
      </c>
      <c r="C45" s="56">
        <v>0</v>
      </c>
      <c r="D45" s="56">
        <v>23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2">
        <f t="shared" si="0"/>
        <v>23</v>
      </c>
      <c r="K45" s="54">
        <f>J45+J44</f>
        <v>47</v>
      </c>
      <c r="L45" s="54">
        <f>SUM(J42:J45)</f>
        <v>87</v>
      </c>
      <c r="M45" s="54">
        <f>SUM(C42:I45)</f>
        <v>85</v>
      </c>
    </row>
    <row r="46" spans="1:13" ht="14.25" customHeight="1" x14ac:dyDescent="0.25">
      <c r="A46" s="50" t="s">
        <v>72</v>
      </c>
      <c r="B46" s="56">
        <v>0</v>
      </c>
      <c r="C46" s="56">
        <v>0</v>
      </c>
      <c r="D46" s="56">
        <v>18</v>
      </c>
      <c r="E46" s="56">
        <v>1</v>
      </c>
      <c r="F46" s="56">
        <v>0</v>
      </c>
      <c r="G46" s="56">
        <v>0</v>
      </c>
      <c r="H46" s="56">
        <v>0</v>
      </c>
      <c r="I46" s="56">
        <v>0</v>
      </c>
      <c r="J46" s="52">
        <f t="shared" ref="J46:J77" si="1">SUMPRODUCT(B46:I46,$B$11:$I$11)</f>
        <v>20</v>
      </c>
      <c r="K46" s="53"/>
      <c r="L46" s="53"/>
      <c r="M46" s="53"/>
    </row>
    <row r="47" spans="1:13" ht="14.25" customHeight="1" x14ac:dyDescent="0.25">
      <c r="A47" s="50" t="s">
        <v>73</v>
      </c>
      <c r="B47" s="56">
        <v>0</v>
      </c>
      <c r="C47" s="56">
        <v>0</v>
      </c>
      <c r="D47" s="56">
        <v>14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2">
        <f t="shared" si="1"/>
        <v>14</v>
      </c>
      <c r="K47" s="54">
        <f>J47+J46</f>
        <v>34</v>
      </c>
      <c r="L47" s="55"/>
      <c r="M47" s="55"/>
    </row>
    <row r="48" spans="1:13" ht="14.25" customHeight="1" x14ac:dyDescent="0.25">
      <c r="A48" s="50" t="s">
        <v>74</v>
      </c>
      <c r="B48" s="56">
        <v>0</v>
      </c>
      <c r="C48" s="56">
        <v>1</v>
      </c>
      <c r="D48" s="56">
        <v>10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2">
        <f t="shared" si="1"/>
        <v>10.5</v>
      </c>
      <c r="K48" s="53"/>
      <c r="L48" s="54"/>
      <c r="M48" s="54"/>
    </row>
    <row r="49" spans="1:13" ht="14.25" customHeight="1" x14ac:dyDescent="0.25">
      <c r="A49" s="50" t="s">
        <v>75</v>
      </c>
      <c r="B49" s="56">
        <v>0</v>
      </c>
      <c r="C49" s="56">
        <v>0</v>
      </c>
      <c r="D49" s="56">
        <v>21</v>
      </c>
      <c r="E49" s="56">
        <v>0</v>
      </c>
      <c r="F49" s="56">
        <v>0</v>
      </c>
      <c r="G49" s="56">
        <v>0</v>
      </c>
      <c r="H49" s="56">
        <v>0</v>
      </c>
      <c r="I49" s="56">
        <v>0</v>
      </c>
      <c r="J49" s="52">
        <f t="shared" si="1"/>
        <v>21</v>
      </c>
      <c r="K49" s="54">
        <f>J49+J48</f>
        <v>31.5</v>
      </c>
      <c r="L49" s="54">
        <f>SUM(J46:J49)</f>
        <v>65.5</v>
      </c>
      <c r="M49" s="54">
        <f>SUM(C46:I49)</f>
        <v>65</v>
      </c>
    </row>
    <row r="50" spans="1:13" ht="14.25" customHeight="1" x14ac:dyDescent="0.25">
      <c r="A50" s="50" t="s">
        <v>76</v>
      </c>
      <c r="B50" s="56">
        <v>0</v>
      </c>
      <c r="C50" s="56">
        <v>0</v>
      </c>
      <c r="D50" s="56">
        <v>22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2">
        <f t="shared" si="1"/>
        <v>22</v>
      </c>
      <c r="K50" s="53"/>
      <c r="L50" s="53"/>
      <c r="M50" s="53"/>
    </row>
    <row r="51" spans="1:13" ht="14.25" customHeight="1" x14ac:dyDescent="0.25">
      <c r="A51" s="50" t="s">
        <v>77</v>
      </c>
      <c r="B51" s="56">
        <v>0</v>
      </c>
      <c r="C51" s="56">
        <v>0</v>
      </c>
      <c r="D51" s="56">
        <v>13</v>
      </c>
      <c r="E51" s="56">
        <v>0</v>
      </c>
      <c r="F51" s="56">
        <v>0</v>
      </c>
      <c r="G51" s="56">
        <v>0</v>
      </c>
      <c r="H51" s="56">
        <v>0</v>
      </c>
      <c r="I51" s="56">
        <v>0</v>
      </c>
      <c r="J51" s="52">
        <f t="shared" si="1"/>
        <v>13</v>
      </c>
      <c r="K51" s="54">
        <f>J51+J50</f>
        <v>35</v>
      </c>
      <c r="L51" s="55"/>
      <c r="M51" s="55"/>
    </row>
    <row r="52" spans="1:13" ht="14.25" customHeight="1" x14ac:dyDescent="0.25">
      <c r="A52" s="50" t="s">
        <v>78</v>
      </c>
      <c r="B52" s="56">
        <v>0</v>
      </c>
      <c r="C52" s="56">
        <v>0</v>
      </c>
      <c r="D52" s="56">
        <v>20</v>
      </c>
      <c r="E52" s="56">
        <v>1</v>
      </c>
      <c r="F52" s="56">
        <v>0</v>
      </c>
      <c r="G52" s="56">
        <v>0</v>
      </c>
      <c r="H52" s="56">
        <v>0</v>
      </c>
      <c r="I52" s="56">
        <v>0</v>
      </c>
      <c r="J52" s="52">
        <f t="shared" si="1"/>
        <v>22</v>
      </c>
      <c r="K52" s="53"/>
      <c r="L52" s="54"/>
      <c r="M52" s="54"/>
    </row>
    <row r="53" spans="1:13" ht="14.25" customHeight="1" x14ac:dyDescent="0.25">
      <c r="A53" s="50" t="s">
        <v>79</v>
      </c>
      <c r="B53" s="56">
        <v>0</v>
      </c>
      <c r="C53" s="56">
        <v>0</v>
      </c>
      <c r="D53" s="56">
        <v>20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2">
        <f t="shared" si="1"/>
        <v>20</v>
      </c>
      <c r="K53" s="54">
        <f>J53+J52</f>
        <v>42</v>
      </c>
      <c r="L53" s="54">
        <f>SUM(J50:J53)</f>
        <v>77</v>
      </c>
      <c r="M53" s="54">
        <f>SUM(C50:I53)</f>
        <v>76</v>
      </c>
    </row>
    <row r="54" spans="1:13" ht="14.25" customHeight="1" x14ac:dyDescent="0.25">
      <c r="A54" s="50" t="s">
        <v>80</v>
      </c>
      <c r="B54" s="56">
        <v>0</v>
      </c>
      <c r="C54" s="56">
        <v>0</v>
      </c>
      <c r="D54" s="56">
        <v>31</v>
      </c>
      <c r="E54" s="56">
        <v>1</v>
      </c>
      <c r="F54" s="56">
        <v>0</v>
      </c>
      <c r="G54" s="56">
        <v>0</v>
      </c>
      <c r="H54" s="56">
        <v>0</v>
      </c>
      <c r="I54" s="56">
        <v>0</v>
      </c>
      <c r="J54" s="52">
        <f t="shared" si="1"/>
        <v>33</v>
      </c>
      <c r="K54" s="53"/>
      <c r="L54" s="53"/>
      <c r="M54" s="53"/>
    </row>
    <row r="55" spans="1:13" ht="14.25" customHeight="1" x14ac:dyDescent="0.25">
      <c r="A55" s="50" t="s">
        <v>81</v>
      </c>
      <c r="B55" s="56">
        <v>0</v>
      </c>
      <c r="C55" s="56">
        <v>0</v>
      </c>
      <c r="D55" s="56">
        <v>31</v>
      </c>
      <c r="E55" s="56">
        <v>0</v>
      </c>
      <c r="F55" s="56">
        <v>0</v>
      </c>
      <c r="G55" s="56">
        <v>0</v>
      </c>
      <c r="H55" s="56">
        <v>0</v>
      </c>
      <c r="I55" s="56">
        <v>0</v>
      </c>
      <c r="J55" s="52">
        <f t="shared" si="1"/>
        <v>31</v>
      </c>
      <c r="K55" s="54">
        <f>J55+J54</f>
        <v>64</v>
      </c>
      <c r="L55" s="55"/>
      <c r="M55" s="55"/>
    </row>
    <row r="56" spans="1:13" ht="14.25" customHeight="1" x14ac:dyDescent="0.25">
      <c r="A56" s="50" t="s">
        <v>82</v>
      </c>
      <c r="B56" s="56">
        <v>0</v>
      </c>
      <c r="C56" s="56">
        <v>1</v>
      </c>
      <c r="D56" s="56">
        <v>16</v>
      </c>
      <c r="E56" s="56">
        <v>1</v>
      </c>
      <c r="F56" s="56">
        <v>0</v>
      </c>
      <c r="G56" s="56">
        <v>0</v>
      </c>
      <c r="H56" s="56">
        <v>0</v>
      </c>
      <c r="I56" s="56">
        <v>0</v>
      </c>
      <c r="J56" s="52">
        <f t="shared" si="1"/>
        <v>18.5</v>
      </c>
      <c r="K56" s="53"/>
      <c r="L56" s="54"/>
      <c r="M56" s="54"/>
    </row>
    <row r="57" spans="1:13" ht="14.25" customHeight="1" x14ac:dyDescent="0.25">
      <c r="A57" s="50" t="s">
        <v>83</v>
      </c>
      <c r="B57" s="56">
        <v>0</v>
      </c>
      <c r="C57" s="56">
        <v>0</v>
      </c>
      <c r="D57" s="56">
        <v>31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2">
        <f t="shared" si="1"/>
        <v>31</v>
      </c>
      <c r="K57" s="57">
        <f>J57+J56</f>
        <v>49.5</v>
      </c>
      <c r="L57" s="54">
        <f>SUM(J54:J57)</f>
        <v>113.5</v>
      </c>
      <c r="M57" s="54">
        <f>SUM(C54:I57)</f>
        <v>112</v>
      </c>
    </row>
    <row r="58" spans="1:13" ht="14.25" customHeight="1" x14ac:dyDescent="0.25">
      <c r="A58" s="50" t="s">
        <v>84</v>
      </c>
      <c r="B58" s="56">
        <v>0</v>
      </c>
      <c r="C58" s="56">
        <v>0</v>
      </c>
      <c r="D58" s="56">
        <v>27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2">
        <f t="shared" si="1"/>
        <v>27</v>
      </c>
      <c r="K58" s="53"/>
      <c r="L58" s="53"/>
      <c r="M58" s="53"/>
    </row>
    <row r="59" spans="1:13" ht="14.25" customHeight="1" x14ac:dyDescent="0.25">
      <c r="A59" s="50" t="s">
        <v>85</v>
      </c>
      <c r="B59" s="56">
        <v>0</v>
      </c>
      <c r="C59" s="56">
        <v>0</v>
      </c>
      <c r="D59" s="56">
        <v>27</v>
      </c>
      <c r="E59" s="56">
        <v>0</v>
      </c>
      <c r="F59" s="56">
        <v>0</v>
      </c>
      <c r="G59" s="56">
        <v>0</v>
      </c>
      <c r="H59" s="56">
        <v>0</v>
      </c>
      <c r="I59" s="56">
        <v>0</v>
      </c>
      <c r="J59" s="52">
        <f t="shared" si="1"/>
        <v>27</v>
      </c>
      <c r="K59" s="54">
        <f>J59+J58</f>
        <v>54</v>
      </c>
      <c r="L59" s="55"/>
      <c r="M59" s="55"/>
    </row>
    <row r="60" spans="1:13" ht="14.25" customHeight="1" x14ac:dyDescent="0.25">
      <c r="A60" s="50" t="s">
        <v>86</v>
      </c>
      <c r="B60" s="56">
        <v>1</v>
      </c>
      <c r="C60" s="56">
        <v>0</v>
      </c>
      <c r="D60" s="56">
        <v>25</v>
      </c>
      <c r="E60" s="56">
        <v>0</v>
      </c>
      <c r="F60" s="56">
        <v>0</v>
      </c>
      <c r="G60" s="56">
        <v>0</v>
      </c>
      <c r="H60" s="56">
        <v>0</v>
      </c>
      <c r="I60" s="56">
        <v>0</v>
      </c>
      <c r="J60" s="52">
        <f t="shared" si="1"/>
        <v>25.3</v>
      </c>
      <c r="K60" s="53"/>
      <c r="L60" s="54"/>
      <c r="M60" s="54"/>
    </row>
    <row r="61" spans="1:13" ht="14.25" customHeight="1" x14ac:dyDescent="0.25">
      <c r="A61" s="50" t="s">
        <v>87</v>
      </c>
      <c r="B61" s="56">
        <v>0</v>
      </c>
      <c r="C61" s="56">
        <v>0</v>
      </c>
      <c r="D61" s="56">
        <v>39</v>
      </c>
      <c r="E61" s="56">
        <v>1</v>
      </c>
      <c r="F61" s="56">
        <v>0</v>
      </c>
      <c r="G61" s="56">
        <v>0</v>
      </c>
      <c r="H61" s="56">
        <v>0</v>
      </c>
      <c r="I61" s="56">
        <v>0</v>
      </c>
      <c r="J61" s="52">
        <f t="shared" si="1"/>
        <v>41</v>
      </c>
      <c r="K61" s="54">
        <f>J61+J60</f>
        <v>66.3</v>
      </c>
      <c r="L61" s="54">
        <f>SUM(J58:J61)</f>
        <v>120.3</v>
      </c>
      <c r="M61" s="54">
        <f>SUM(C58:I61)</f>
        <v>119</v>
      </c>
    </row>
    <row r="62" spans="1:13" ht="14.25" customHeight="1" x14ac:dyDescent="0.25">
      <c r="A62" s="50" t="s">
        <v>88</v>
      </c>
      <c r="B62" s="56">
        <v>0</v>
      </c>
      <c r="C62" s="56">
        <v>0</v>
      </c>
      <c r="D62" s="56">
        <v>24</v>
      </c>
      <c r="E62" s="56">
        <v>0</v>
      </c>
      <c r="F62" s="56">
        <v>0</v>
      </c>
      <c r="G62" s="56">
        <v>0</v>
      </c>
      <c r="H62" s="56">
        <v>0</v>
      </c>
      <c r="I62" s="56">
        <v>0</v>
      </c>
      <c r="J62" s="52">
        <f t="shared" si="1"/>
        <v>24</v>
      </c>
      <c r="K62" s="53"/>
      <c r="L62" s="53"/>
      <c r="M62" s="53"/>
    </row>
    <row r="63" spans="1:13" ht="14.25" customHeight="1" x14ac:dyDescent="0.25">
      <c r="A63" s="50" t="s">
        <v>89</v>
      </c>
      <c r="B63" s="56">
        <v>0</v>
      </c>
      <c r="C63" s="56">
        <v>0</v>
      </c>
      <c r="D63" s="56">
        <v>22</v>
      </c>
      <c r="E63" s="56">
        <v>0</v>
      </c>
      <c r="F63" s="56">
        <v>0</v>
      </c>
      <c r="G63" s="56">
        <v>0</v>
      </c>
      <c r="H63" s="56">
        <v>0</v>
      </c>
      <c r="I63" s="56">
        <v>0</v>
      </c>
      <c r="J63" s="52">
        <f t="shared" si="1"/>
        <v>22</v>
      </c>
      <c r="K63" s="54">
        <f>J63+J62</f>
        <v>46</v>
      </c>
      <c r="L63" s="55"/>
      <c r="M63" s="55"/>
    </row>
    <row r="64" spans="1:13" ht="14.25" customHeight="1" x14ac:dyDescent="0.25">
      <c r="A64" s="50" t="s">
        <v>90</v>
      </c>
      <c r="B64" s="56">
        <v>0</v>
      </c>
      <c r="C64" s="56">
        <v>1</v>
      </c>
      <c r="D64" s="56">
        <v>23</v>
      </c>
      <c r="E64" s="56">
        <v>1</v>
      </c>
      <c r="F64" s="56">
        <v>0</v>
      </c>
      <c r="G64" s="56">
        <v>1</v>
      </c>
      <c r="H64" s="56">
        <v>0</v>
      </c>
      <c r="I64" s="56">
        <v>0</v>
      </c>
      <c r="J64" s="52">
        <f t="shared" si="1"/>
        <v>27.5</v>
      </c>
      <c r="K64" s="53"/>
      <c r="L64" s="54"/>
      <c r="M64" s="54"/>
    </row>
    <row r="65" spans="1:13" ht="14.25" customHeight="1" x14ac:dyDescent="0.25">
      <c r="A65" s="50" t="s">
        <v>91</v>
      </c>
      <c r="B65" s="56">
        <v>0</v>
      </c>
      <c r="C65" s="56">
        <v>0</v>
      </c>
      <c r="D65" s="56">
        <v>30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2">
        <f t="shared" si="1"/>
        <v>30</v>
      </c>
      <c r="K65" s="54">
        <f>J65+J64</f>
        <v>57.5</v>
      </c>
      <c r="L65" s="54">
        <f>SUM(J62:J65)</f>
        <v>103.5</v>
      </c>
      <c r="M65" s="54">
        <f>SUM(C62:I65)</f>
        <v>102</v>
      </c>
    </row>
    <row r="66" spans="1:13" ht="14.25" customHeight="1" x14ac:dyDescent="0.25">
      <c r="A66" s="50" t="s">
        <v>92</v>
      </c>
      <c r="B66" s="56">
        <v>0</v>
      </c>
      <c r="C66" s="56">
        <v>1</v>
      </c>
      <c r="D66" s="56">
        <v>19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2">
        <f t="shared" si="1"/>
        <v>19.5</v>
      </c>
      <c r="K66" s="53"/>
      <c r="L66" s="53"/>
      <c r="M66" s="53"/>
    </row>
    <row r="67" spans="1:13" ht="14.25" customHeight="1" x14ac:dyDescent="0.25">
      <c r="A67" s="50" t="s">
        <v>93</v>
      </c>
      <c r="B67" s="56">
        <v>0</v>
      </c>
      <c r="C67" s="56">
        <v>0</v>
      </c>
      <c r="D67" s="56">
        <v>22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2">
        <f t="shared" si="1"/>
        <v>22</v>
      </c>
      <c r="K67" s="54">
        <f>J67+J66</f>
        <v>41.5</v>
      </c>
      <c r="L67" s="55"/>
      <c r="M67" s="55"/>
    </row>
    <row r="68" spans="1:13" ht="14.25" customHeight="1" x14ac:dyDescent="0.25">
      <c r="A68" s="50" t="s">
        <v>94</v>
      </c>
      <c r="B68" s="56">
        <v>0</v>
      </c>
      <c r="C68" s="56">
        <v>0</v>
      </c>
      <c r="D68" s="56">
        <v>24</v>
      </c>
      <c r="E68" s="56">
        <v>1</v>
      </c>
      <c r="F68" s="56">
        <v>0</v>
      </c>
      <c r="G68" s="56">
        <v>0</v>
      </c>
      <c r="H68" s="56">
        <v>0</v>
      </c>
      <c r="I68" s="56">
        <v>0</v>
      </c>
      <c r="J68" s="52">
        <f t="shared" si="1"/>
        <v>26</v>
      </c>
      <c r="K68" s="53"/>
      <c r="L68" s="54"/>
      <c r="M68" s="54"/>
    </row>
    <row r="69" spans="1:13" ht="14.25" customHeight="1" x14ac:dyDescent="0.25">
      <c r="A69" s="50" t="s">
        <v>95</v>
      </c>
      <c r="B69" s="56">
        <v>0</v>
      </c>
      <c r="C69" s="56">
        <v>0</v>
      </c>
      <c r="D69" s="56">
        <v>21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2">
        <f t="shared" si="1"/>
        <v>21</v>
      </c>
      <c r="K69" s="54">
        <f>J69+J68</f>
        <v>47</v>
      </c>
      <c r="L69" s="54">
        <f>SUM(J66:J69)</f>
        <v>88.5</v>
      </c>
      <c r="M69" s="54">
        <f>SUM(C66:I69)</f>
        <v>88</v>
      </c>
    </row>
    <row r="70" spans="1:13" ht="14.25" customHeight="1" x14ac:dyDescent="0.25">
      <c r="A70" s="50" t="s">
        <v>96</v>
      </c>
      <c r="B70" s="51"/>
      <c r="C70" s="51"/>
      <c r="D70" s="51"/>
      <c r="E70" s="51"/>
      <c r="F70" s="51"/>
      <c r="G70" s="51"/>
      <c r="H70" s="51"/>
      <c r="I70" s="51"/>
      <c r="J70" s="52">
        <f t="shared" si="1"/>
        <v>0</v>
      </c>
      <c r="K70" s="53"/>
      <c r="L70" s="53"/>
      <c r="M70" s="53"/>
    </row>
    <row r="71" spans="1:13" ht="14.25" customHeight="1" x14ac:dyDescent="0.25">
      <c r="A71" s="50" t="s">
        <v>97</v>
      </c>
      <c r="B71" s="51"/>
      <c r="C71" s="51"/>
      <c r="D71" s="51"/>
      <c r="E71" s="51"/>
      <c r="F71" s="51"/>
      <c r="G71" s="51"/>
      <c r="H71" s="51"/>
      <c r="I71" s="51"/>
      <c r="J71" s="52">
        <f t="shared" si="1"/>
        <v>0</v>
      </c>
      <c r="K71" s="54">
        <f>J71+J70</f>
        <v>0</v>
      </c>
      <c r="L71" s="55"/>
      <c r="M71" s="55"/>
    </row>
    <row r="72" spans="1:13" ht="14.25" customHeight="1" x14ac:dyDescent="0.25">
      <c r="A72" s="50" t="s">
        <v>98</v>
      </c>
      <c r="B72" s="51"/>
      <c r="C72" s="51"/>
      <c r="D72" s="51"/>
      <c r="E72" s="51"/>
      <c r="F72" s="51"/>
      <c r="G72" s="51"/>
      <c r="H72" s="51"/>
      <c r="I72" s="51"/>
      <c r="J72" s="52">
        <f t="shared" si="1"/>
        <v>0</v>
      </c>
      <c r="K72" s="53"/>
      <c r="L72" s="54"/>
      <c r="M72" s="54"/>
    </row>
    <row r="73" spans="1:13" ht="14.25" customHeight="1" x14ac:dyDescent="0.25">
      <c r="A73" s="58" t="s">
        <v>99</v>
      </c>
      <c r="B73" s="51"/>
      <c r="C73" s="51"/>
      <c r="D73" s="51"/>
      <c r="E73" s="51"/>
      <c r="F73" s="51"/>
      <c r="G73" s="51"/>
      <c r="H73" s="51"/>
      <c r="I73" s="51"/>
      <c r="J73" s="52">
        <f t="shared" si="1"/>
        <v>0</v>
      </c>
      <c r="K73" s="54">
        <f>J73+J72</f>
        <v>0</v>
      </c>
      <c r="L73" s="54">
        <f>SUM(J70:J73)</f>
        <v>0</v>
      </c>
      <c r="M73" s="54">
        <f>SUM(C70:I73)</f>
        <v>0</v>
      </c>
    </row>
    <row r="74" spans="1:13" ht="14.25" customHeight="1" x14ac:dyDescent="0.25">
      <c r="A74" s="59" t="s">
        <v>100</v>
      </c>
      <c r="B74" s="51"/>
      <c r="C74" s="51"/>
      <c r="D74" s="51"/>
      <c r="E74" s="51"/>
      <c r="F74" s="51"/>
      <c r="G74" s="51"/>
      <c r="H74" s="51"/>
      <c r="I74" s="51"/>
      <c r="J74" s="52">
        <f t="shared" si="1"/>
        <v>0</v>
      </c>
      <c r="K74" s="53"/>
      <c r="L74" s="53"/>
      <c r="M74" s="53"/>
    </row>
    <row r="75" spans="1:13" ht="14.25" customHeight="1" x14ac:dyDescent="0.25">
      <c r="A75" s="59" t="s">
        <v>101</v>
      </c>
      <c r="B75" s="51"/>
      <c r="C75" s="51"/>
      <c r="D75" s="51"/>
      <c r="E75" s="51"/>
      <c r="F75" s="51"/>
      <c r="G75" s="51"/>
      <c r="H75" s="51"/>
      <c r="I75" s="51"/>
      <c r="J75" s="52">
        <f t="shared" si="1"/>
        <v>0</v>
      </c>
      <c r="K75" s="54">
        <f>J75+J74</f>
        <v>0</v>
      </c>
      <c r="L75" s="55"/>
      <c r="M75" s="55"/>
    </row>
    <row r="76" spans="1:13" ht="14.25" customHeight="1" x14ac:dyDescent="0.25">
      <c r="A76" s="59" t="s">
        <v>102</v>
      </c>
      <c r="B76" s="51"/>
      <c r="C76" s="51"/>
      <c r="D76" s="51"/>
      <c r="E76" s="51"/>
      <c r="F76" s="51"/>
      <c r="G76" s="51"/>
      <c r="H76" s="51"/>
      <c r="I76" s="51"/>
      <c r="J76" s="52">
        <f t="shared" si="1"/>
        <v>0</v>
      </c>
      <c r="K76" s="53"/>
      <c r="L76" s="54"/>
      <c r="M76" s="54"/>
    </row>
    <row r="77" spans="1:13" ht="14.25" customHeight="1" x14ac:dyDescent="0.25">
      <c r="A77" s="59" t="s">
        <v>103</v>
      </c>
      <c r="B77" s="51"/>
      <c r="C77" s="51"/>
      <c r="D77" s="51"/>
      <c r="E77" s="51"/>
      <c r="F77" s="51"/>
      <c r="G77" s="51"/>
      <c r="H77" s="51"/>
      <c r="I77" s="51"/>
      <c r="J77" s="52">
        <f t="shared" si="1"/>
        <v>0</v>
      </c>
      <c r="K77" s="54">
        <f>J77+J76</f>
        <v>0</v>
      </c>
      <c r="L77" s="54">
        <f>SUM(J74:J77)</f>
        <v>0</v>
      </c>
      <c r="M77" s="54">
        <f>SUM(C74:I77)</f>
        <v>0</v>
      </c>
    </row>
    <row r="78" spans="1:13" ht="14.25" customHeight="1" x14ac:dyDescent="0.25">
      <c r="A78" s="59" t="s">
        <v>104</v>
      </c>
      <c r="B78" s="51"/>
      <c r="C78" s="51"/>
      <c r="D78" s="51"/>
      <c r="E78" s="51"/>
      <c r="F78" s="51"/>
      <c r="G78" s="51"/>
      <c r="H78" s="51"/>
      <c r="I78" s="51"/>
      <c r="J78" s="52">
        <f t="shared" ref="J78:J109" si="2">SUMPRODUCT(B78:I78,$B$11:$I$11)</f>
        <v>0</v>
      </c>
      <c r="K78" s="53"/>
      <c r="L78" s="53"/>
      <c r="M78" s="53"/>
    </row>
    <row r="79" spans="1:13" ht="14.25" customHeight="1" x14ac:dyDescent="0.25">
      <c r="A79" s="59" t="s">
        <v>105</v>
      </c>
      <c r="B79" s="51"/>
      <c r="C79" s="51"/>
      <c r="D79" s="51"/>
      <c r="E79" s="51"/>
      <c r="F79" s="51"/>
      <c r="G79" s="51"/>
      <c r="H79" s="51"/>
      <c r="I79" s="51"/>
      <c r="J79" s="52">
        <f t="shared" si="2"/>
        <v>0</v>
      </c>
      <c r="K79" s="54">
        <f>J79+J78</f>
        <v>0</v>
      </c>
      <c r="L79" s="55"/>
      <c r="M79" s="55"/>
    </row>
    <row r="80" spans="1:13" ht="14.25" customHeight="1" x14ac:dyDescent="0.25">
      <c r="A80" s="59" t="s">
        <v>106</v>
      </c>
      <c r="B80" s="51"/>
      <c r="C80" s="51"/>
      <c r="D80" s="51"/>
      <c r="E80" s="51"/>
      <c r="F80" s="51"/>
      <c r="G80" s="51"/>
      <c r="H80" s="51"/>
      <c r="I80" s="51"/>
      <c r="J80" s="52">
        <f t="shared" si="2"/>
        <v>0</v>
      </c>
      <c r="K80" s="53"/>
      <c r="L80" s="54"/>
      <c r="M80" s="54"/>
    </row>
    <row r="81" spans="1:13" ht="14.25" customHeight="1" x14ac:dyDescent="0.25">
      <c r="A81" s="59" t="s">
        <v>107</v>
      </c>
      <c r="B81" s="51"/>
      <c r="C81" s="51"/>
      <c r="D81" s="51"/>
      <c r="E81" s="51"/>
      <c r="F81" s="51"/>
      <c r="G81" s="51"/>
      <c r="H81" s="51"/>
      <c r="I81" s="51"/>
      <c r="J81" s="52">
        <f t="shared" si="2"/>
        <v>0</v>
      </c>
      <c r="K81" s="54">
        <f>J81+J80</f>
        <v>0</v>
      </c>
      <c r="L81" s="54">
        <f>SUM(J78:J81)</f>
        <v>0</v>
      </c>
      <c r="M81" s="54">
        <f>SUM(C78:I81)</f>
        <v>0</v>
      </c>
    </row>
    <row r="82" spans="1:13" ht="14.25" customHeight="1" x14ac:dyDescent="0.45">
      <c r="A82" s="60" t="s">
        <v>108</v>
      </c>
      <c r="B82" s="61">
        <f>SUM(B$14:B81)</f>
        <v>1</v>
      </c>
      <c r="C82" s="61">
        <f>SUM(C$14:C81)</f>
        <v>5</v>
      </c>
      <c r="D82" s="61">
        <f>SUM(D$14:D81)</f>
        <v>970</v>
      </c>
      <c r="E82" s="61">
        <f>SUM(E$14:E81)</f>
        <v>14</v>
      </c>
      <c r="F82" s="61">
        <f>SUM(F$14:F81)</f>
        <v>0</v>
      </c>
      <c r="G82" s="61">
        <f>SUM(G$14:G81)</f>
        <v>7</v>
      </c>
      <c r="H82" s="61">
        <f>SUM(H$14:H81)</f>
        <v>1</v>
      </c>
      <c r="I82" s="61">
        <f>SUM(I$14:I81)</f>
        <v>0</v>
      </c>
      <c r="J82" s="61">
        <f>SUM(B82:I82)</f>
        <v>998</v>
      </c>
      <c r="K82" s="62"/>
      <c r="L82" s="63"/>
      <c r="M82" s="63"/>
    </row>
    <row r="83" spans="1:13" ht="14.25" customHeight="1" x14ac:dyDescent="0.25">
      <c r="L83" s="64"/>
      <c r="M83" s="64"/>
    </row>
    <row r="84" spans="1:13" ht="14.25" customHeight="1" x14ac:dyDescent="0.25">
      <c r="L84" s="65"/>
      <c r="M84" s="65"/>
    </row>
    <row r="85" spans="1:13" ht="14.25" customHeight="1" x14ac:dyDescent="0.25">
      <c r="L85" s="65"/>
      <c r="M85" s="65"/>
    </row>
    <row r="86" spans="1:13" ht="14.25" customHeight="1" x14ac:dyDescent="0.25"/>
    <row r="87" spans="1:13" ht="14.25" customHeight="1" x14ac:dyDescent="0.25"/>
    <row r="88" spans="1:13" ht="14.25" customHeight="1" x14ac:dyDescent="0.25"/>
    <row r="89" spans="1:13" ht="14.25" customHeight="1" x14ac:dyDescent="0.25"/>
    <row r="90" spans="1:13" ht="14.25" customHeight="1" x14ac:dyDescent="0.25"/>
    <row r="91" spans="1:13" ht="14.25" customHeight="1" x14ac:dyDescent="0.25"/>
    <row r="92" spans="1:13" ht="14.25" customHeight="1" x14ac:dyDescent="0.25"/>
    <row r="93" spans="1:13" ht="14.25" customHeight="1" x14ac:dyDescent="0.25"/>
    <row r="94" spans="1:13" ht="14.25" customHeight="1" x14ac:dyDescent="0.25"/>
    <row r="95" spans="1:13" ht="14.25" customHeight="1" x14ac:dyDescent="0.25"/>
    <row r="96" spans="1:1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</sheetData>
  <mergeCells count="2">
    <mergeCell ref="A3:M3"/>
    <mergeCell ref="A4:M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980"/>
  <sheetViews>
    <sheetView zoomScale="85" zoomScaleNormal="85" workbookViewId="0"/>
  </sheetViews>
  <sheetFormatPr defaultColWidth="15.90625" defaultRowHeight="12.75" customHeight="1" x14ac:dyDescent="0.25"/>
  <cols>
    <col min="1" max="1" width="14.453125" customWidth="1"/>
    <col min="2" max="9" width="6.90625" customWidth="1"/>
    <col min="10" max="13" width="7.453125" customWidth="1"/>
    <col min="16367" max="16384" width="11.54296875" customWidth="1"/>
  </cols>
  <sheetData>
    <row r="1" spans="1:13" ht="14.2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8.75" customHeight="1" x14ac:dyDescent="0.4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35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4.25" customHeight="1" x14ac:dyDescent="0.3">
      <c r="A5" s="24" t="s">
        <v>6</v>
      </c>
      <c r="B5" s="25"/>
      <c r="C5" s="26"/>
      <c r="D5" s="27"/>
      <c r="E5" s="27"/>
      <c r="F5" s="25"/>
      <c r="G5" s="25"/>
      <c r="H5" s="28"/>
      <c r="I5" s="26"/>
      <c r="J5" s="27" t="s">
        <v>3</v>
      </c>
      <c r="K5" s="25">
        <v>0</v>
      </c>
      <c r="L5" s="29"/>
      <c r="M5" s="30"/>
    </row>
    <row r="6" spans="1:13" ht="14.25" customHeight="1" x14ac:dyDescent="0.3">
      <c r="A6" s="31">
        <f>Deckbl.!I11</f>
        <v>45944</v>
      </c>
      <c r="B6" s="9"/>
      <c r="C6" s="8"/>
      <c r="D6" s="8"/>
      <c r="E6" s="9"/>
      <c r="F6" s="9"/>
      <c r="G6" s="9"/>
      <c r="H6" s="9"/>
      <c r="I6" s="8"/>
      <c r="J6" s="12" t="s">
        <v>9</v>
      </c>
      <c r="K6" s="32" t="str">
        <f>Deckbl.!I12</f>
        <v>9-14 ° sonnig</v>
      </c>
      <c r="L6" s="33"/>
      <c r="M6" s="34"/>
    </row>
    <row r="7" spans="1:13" ht="14.25" customHeight="1" x14ac:dyDescent="0.3">
      <c r="A7" s="35"/>
      <c r="B7" s="12" t="s">
        <v>14</v>
      </c>
      <c r="C7" s="36" t="str">
        <f>Deckbl.!C8</f>
        <v>B122 / Badhaller Straße / Holznerweg (Bad Hall)</v>
      </c>
      <c r="D7" s="33"/>
      <c r="E7" s="37"/>
      <c r="F7" s="37"/>
      <c r="G7" s="37"/>
      <c r="H7" s="37"/>
      <c r="I7" s="38"/>
      <c r="J7" s="36"/>
      <c r="K7" s="37"/>
      <c r="L7" s="37"/>
      <c r="M7" s="39"/>
    </row>
    <row r="8" spans="1:13" ht="14.25" customHeight="1" x14ac:dyDescent="0.3">
      <c r="A8" s="35"/>
      <c r="B8" s="12" t="s">
        <v>15</v>
      </c>
      <c r="C8" s="33"/>
      <c r="D8" s="33"/>
      <c r="E8" s="37"/>
      <c r="F8" s="37"/>
      <c r="G8" s="37"/>
      <c r="H8" s="37"/>
      <c r="I8" s="38" t="s">
        <v>7</v>
      </c>
      <c r="J8" s="36" t="s">
        <v>16</v>
      </c>
      <c r="K8" s="40"/>
      <c r="L8" s="37"/>
      <c r="M8" s="39"/>
    </row>
    <row r="9" spans="1:13" ht="14.25" customHeight="1" x14ac:dyDescent="0.3">
      <c r="A9" s="35"/>
      <c r="B9" s="12" t="s">
        <v>17</v>
      </c>
      <c r="C9" s="41" t="s">
        <v>117</v>
      </c>
      <c r="D9" s="8"/>
      <c r="E9" s="9"/>
      <c r="F9" s="9"/>
      <c r="G9" s="9"/>
      <c r="H9" s="9"/>
      <c r="I9" s="12" t="s">
        <v>19</v>
      </c>
      <c r="J9" s="36" t="str">
        <f>Deckbl.!C11</f>
        <v>7-19 Uhr</v>
      </c>
      <c r="K9" s="37"/>
      <c r="L9" s="37"/>
      <c r="M9" s="39"/>
    </row>
    <row r="10" spans="1:13" ht="14.25" customHeight="1" x14ac:dyDescent="0.3">
      <c r="A10" s="35"/>
      <c r="B10" s="38" t="s">
        <v>20</v>
      </c>
      <c r="C10" s="42"/>
      <c r="D10" s="33"/>
      <c r="E10" s="37"/>
      <c r="F10" s="37"/>
      <c r="G10" s="37"/>
      <c r="H10" s="37"/>
      <c r="I10" s="38"/>
      <c r="J10" s="36"/>
      <c r="K10" s="37"/>
      <c r="L10" s="36"/>
      <c r="M10" s="39"/>
    </row>
    <row r="11" spans="1:13" ht="14.25" customHeight="1" x14ac:dyDescent="0.25">
      <c r="A11" s="43" t="s">
        <v>21</v>
      </c>
      <c r="B11" s="44">
        <v>0.3</v>
      </c>
      <c r="C11" s="44">
        <v>0.5</v>
      </c>
      <c r="D11" s="44">
        <v>1</v>
      </c>
      <c r="E11" s="44">
        <v>2</v>
      </c>
      <c r="F11" s="44">
        <v>2</v>
      </c>
      <c r="G11" s="44">
        <v>2</v>
      </c>
      <c r="H11" s="44">
        <v>3</v>
      </c>
      <c r="I11" s="44">
        <v>2</v>
      </c>
      <c r="J11" s="45"/>
      <c r="K11" s="45"/>
      <c r="L11" s="45"/>
      <c r="M11" s="45"/>
    </row>
    <row r="12" spans="1:13" ht="14.25" customHeight="1" x14ac:dyDescent="0.25">
      <c r="A12" s="46"/>
      <c r="B12" s="24"/>
      <c r="C12" s="47" t="s">
        <v>22</v>
      </c>
      <c r="D12" s="24" t="s">
        <v>23</v>
      </c>
      <c r="E12" s="47" t="s">
        <v>24</v>
      </c>
      <c r="F12" s="47" t="s">
        <v>25</v>
      </c>
      <c r="G12" s="24" t="s">
        <v>26</v>
      </c>
      <c r="H12" s="47" t="s">
        <v>27</v>
      </c>
      <c r="I12" s="47" t="s">
        <v>28</v>
      </c>
      <c r="J12" s="48" t="s">
        <v>29</v>
      </c>
      <c r="K12" s="48" t="s">
        <v>29</v>
      </c>
      <c r="L12" s="48" t="s">
        <v>29</v>
      </c>
      <c r="M12" s="48" t="s">
        <v>30</v>
      </c>
    </row>
    <row r="13" spans="1:13" ht="14.25" customHeight="1" x14ac:dyDescent="0.25">
      <c r="A13" s="49" t="s">
        <v>31</v>
      </c>
      <c r="B13" s="47" t="s">
        <v>32</v>
      </c>
      <c r="C13" s="47" t="s">
        <v>30</v>
      </c>
      <c r="D13" s="47" t="s">
        <v>33</v>
      </c>
      <c r="E13" s="47" t="s">
        <v>34</v>
      </c>
      <c r="F13" s="47" t="s">
        <v>34</v>
      </c>
      <c r="G13" s="47"/>
      <c r="H13" s="47" t="s">
        <v>35</v>
      </c>
      <c r="I13" s="47" t="s">
        <v>36</v>
      </c>
      <c r="J13" s="48" t="s">
        <v>37</v>
      </c>
      <c r="K13" s="48" t="s">
        <v>38</v>
      </c>
      <c r="L13" s="48" t="s">
        <v>39</v>
      </c>
      <c r="M13" s="48" t="s">
        <v>39</v>
      </c>
    </row>
    <row r="14" spans="1:13" ht="14.25" customHeight="1" x14ac:dyDescent="0.25">
      <c r="A14" s="50" t="s">
        <v>40</v>
      </c>
      <c r="B14" s="51"/>
      <c r="C14" s="51"/>
      <c r="D14" s="51"/>
      <c r="E14" s="51"/>
      <c r="F14" s="51"/>
      <c r="G14" s="51"/>
      <c r="H14" s="51"/>
      <c r="I14" s="51"/>
      <c r="J14" s="52">
        <f t="shared" ref="J14:J45" si="0">SUMPRODUCT(B14:I14,$B$11:$I$11)</f>
        <v>0</v>
      </c>
      <c r="K14" s="53"/>
      <c r="L14" s="53"/>
      <c r="M14" s="53"/>
    </row>
    <row r="15" spans="1:13" ht="14.25" customHeight="1" x14ac:dyDescent="0.25">
      <c r="A15" s="50" t="s">
        <v>41</v>
      </c>
      <c r="B15" s="51"/>
      <c r="C15" s="51"/>
      <c r="D15" s="51"/>
      <c r="E15" s="51"/>
      <c r="F15" s="51"/>
      <c r="G15" s="51"/>
      <c r="H15" s="51"/>
      <c r="I15" s="51"/>
      <c r="J15" s="52">
        <f t="shared" si="0"/>
        <v>0</v>
      </c>
      <c r="K15" s="54">
        <f>J15+J14</f>
        <v>0</v>
      </c>
      <c r="L15" s="55"/>
      <c r="M15" s="55"/>
    </row>
    <row r="16" spans="1:13" ht="14.25" customHeight="1" x14ac:dyDescent="0.25">
      <c r="A16" s="50" t="s">
        <v>42</v>
      </c>
      <c r="B16" s="51"/>
      <c r="C16" s="51"/>
      <c r="D16" s="51"/>
      <c r="E16" s="51"/>
      <c r="F16" s="51"/>
      <c r="G16" s="51"/>
      <c r="H16" s="51"/>
      <c r="I16" s="51"/>
      <c r="J16" s="52">
        <f t="shared" si="0"/>
        <v>0</v>
      </c>
      <c r="K16" s="53"/>
      <c r="L16" s="54"/>
      <c r="M16" s="54"/>
    </row>
    <row r="17" spans="1:13" ht="14.25" customHeight="1" x14ac:dyDescent="0.25">
      <c r="A17" s="50" t="s">
        <v>43</v>
      </c>
      <c r="B17" s="51"/>
      <c r="C17" s="51"/>
      <c r="D17" s="51"/>
      <c r="E17" s="51"/>
      <c r="F17" s="51"/>
      <c r="G17" s="51"/>
      <c r="H17" s="51"/>
      <c r="I17" s="51"/>
      <c r="J17" s="52">
        <f t="shared" si="0"/>
        <v>0</v>
      </c>
      <c r="K17" s="54">
        <f>J17+J16</f>
        <v>0</v>
      </c>
      <c r="L17" s="54">
        <f>SUM(J14:J17)</f>
        <v>0</v>
      </c>
      <c r="M17" s="54">
        <f>SUM(C14:I17)</f>
        <v>0</v>
      </c>
    </row>
    <row r="18" spans="1:13" ht="14.25" customHeight="1" x14ac:dyDescent="0.25">
      <c r="A18" s="50" t="s">
        <v>44</v>
      </c>
      <c r="B18" s="51"/>
      <c r="C18" s="51"/>
      <c r="D18" s="51"/>
      <c r="E18" s="51"/>
      <c r="F18" s="51"/>
      <c r="G18" s="51"/>
      <c r="H18" s="51"/>
      <c r="I18" s="51"/>
      <c r="J18" s="52">
        <f t="shared" si="0"/>
        <v>0</v>
      </c>
      <c r="K18" s="53"/>
      <c r="L18" s="53"/>
      <c r="M18" s="53"/>
    </row>
    <row r="19" spans="1:13" ht="14.25" customHeight="1" x14ac:dyDescent="0.25">
      <c r="A19" s="50" t="s">
        <v>45</v>
      </c>
      <c r="B19" s="51"/>
      <c r="C19" s="51"/>
      <c r="D19" s="51"/>
      <c r="E19" s="51"/>
      <c r="F19" s="51"/>
      <c r="G19" s="51"/>
      <c r="H19" s="51"/>
      <c r="I19" s="51"/>
      <c r="J19" s="52">
        <f t="shared" si="0"/>
        <v>0</v>
      </c>
      <c r="K19" s="54">
        <f>J19+J18</f>
        <v>0</v>
      </c>
      <c r="L19" s="55"/>
      <c r="M19" s="55"/>
    </row>
    <row r="20" spans="1:13" ht="14.25" customHeight="1" x14ac:dyDescent="0.25">
      <c r="A20" s="50" t="s">
        <v>46</v>
      </c>
      <c r="B20" s="51"/>
      <c r="C20" s="51"/>
      <c r="D20" s="51"/>
      <c r="E20" s="51"/>
      <c r="F20" s="51"/>
      <c r="G20" s="51"/>
      <c r="H20" s="51"/>
      <c r="I20" s="51"/>
      <c r="J20" s="52">
        <f t="shared" si="0"/>
        <v>0</v>
      </c>
      <c r="K20" s="53"/>
      <c r="L20" s="54"/>
      <c r="M20" s="54"/>
    </row>
    <row r="21" spans="1:13" ht="14.25" customHeight="1" x14ac:dyDescent="0.25">
      <c r="A21" s="50" t="s">
        <v>47</v>
      </c>
      <c r="B21" s="51"/>
      <c r="C21" s="51"/>
      <c r="D21" s="51"/>
      <c r="E21" s="51"/>
      <c r="F21" s="51"/>
      <c r="G21" s="51"/>
      <c r="H21" s="51"/>
      <c r="I21" s="51"/>
      <c r="J21" s="52">
        <f t="shared" si="0"/>
        <v>0</v>
      </c>
      <c r="K21" s="54">
        <f>J21+J20</f>
        <v>0</v>
      </c>
      <c r="L21" s="54">
        <f>SUM(J18:J21)</f>
        <v>0</v>
      </c>
      <c r="M21" s="54">
        <f>SUM(C18:I21)</f>
        <v>0</v>
      </c>
    </row>
    <row r="22" spans="1:13" ht="14.25" customHeight="1" x14ac:dyDescent="0.25">
      <c r="A22" s="50" t="s">
        <v>48</v>
      </c>
      <c r="B22" s="56">
        <v>0</v>
      </c>
      <c r="C22" s="56">
        <v>0</v>
      </c>
      <c r="D22" s="56">
        <v>22</v>
      </c>
      <c r="E22" s="56">
        <v>0</v>
      </c>
      <c r="F22" s="56">
        <v>0</v>
      </c>
      <c r="G22" s="56">
        <v>0</v>
      </c>
      <c r="H22" s="56">
        <v>0</v>
      </c>
      <c r="I22" s="56">
        <v>0</v>
      </c>
      <c r="J22" s="52">
        <f t="shared" si="0"/>
        <v>22</v>
      </c>
      <c r="K22" s="53"/>
      <c r="L22" s="53"/>
      <c r="M22" s="53"/>
    </row>
    <row r="23" spans="1:13" ht="14.25" customHeight="1" x14ac:dyDescent="0.25">
      <c r="A23" s="50" t="s">
        <v>49</v>
      </c>
      <c r="B23" s="56">
        <v>0</v>
      </c>
      <c r="C23" s="56">
        <v>0</v>
      </c>
      <c r="D23" s="56">
        <v>29</v>
      </c>
      <c r="E23" s="56">
        <v>1</v>
      </c>
      <c r="F23" s="56">
        <v>0</v>
      </c>
      <c r="G23" s="56">
        <v>0</v>
      </c>
      <c r="H23" s="56">
        <v>0</v>
      </c>
      <c r="I23" s="56">
        <v>0</v>
      </c>
      <c r="J23" s="52">
        <f t="shared" si="0"/>
        <v>31</v>
      </c>
      <c r="K23" s="54">
        <f>J23+J22</f>
        <v>53</v>
      </c>
      <c r="L23" s="55"/>
      <c r="M23" s="55"/>
    </row>
    <row r="24" spans="1:13" ht="14.25" customHeight="1" x14ac:dyDescent="0.25">
      <c r="A24" s="50" t="s">
        <v>50</v>
      </c>
      <c r="B24" s="56">
        <v>0</v>
      </c>
      <c r="C24" s="56">
        <v>0</v>
      </c>
      <c r="D24" s="56">
        <v>24</v>
      </c>
      <c r="E24" s="56">
        <v>1</v>
      </c>
      <c r="F24" s="56">
        <v>0</v>
      </c>
      <c r="G24" s="56">
        <v>0</v>
      </c>
      <c r="H24" s="56">
        <v>0</v>
      </c>
      <c r="I24" s="56">
        <v>0</v>
      </c>
      <c r="J24" s="52">
        <f t="shared" si="0"/>
        <v>26</v>
      </c>
      <c r="K24" s="53"/>
      <c r="L24" s="54"/>
      <c r="M24" s="54"/>
    </row>
    <row r="25" spans="1:13" ht="14.25" customHeight="1" x14ac:dyDescent="0.25">
      <c r="A25" s="50" t="s">
        <v>51</v>
      </c>
      <c r="B25" s="56">
        <v>0</v>
      </c>
      <c r="C25" s="56">
        <v>0</v>
      </c>
      <c r="D25" s="56">
        <v>24</v>
      </c>
      <c r="E25" s="56">
        <v>0</v>
      </c>
      <c r="F25" s="56">
        <v>0</v>
      </c>
      <c r="G25" s="56">
        <v>1</v>
      </c>
      <c r="H25" s="56">
        <v>0</v>
      </c>
      <c r="I25" s="56">
        <v>0</v>
      </c>
      <c r="J25" s="52">
        <f t="shared" si="0"/>
        <v>26</v>
      </c>
      <c r="K25" s="54">
        <f>J25+J24</f>
        <v>52</v>
      </c>
      <c r="L25" s="54">
        <f>SUM(J22:J25)</f>
        <v>105</v>
      </c>
      <c r="M25" s="54">
        <f>SUM(C22:I25)</f>
        <v>102</v>
      </c>
    </row>
    <row r="26" spans="1:13" ht="14.25" customHeight="1" x14ac:dyDescent="0.25">
      <c r="A26" s="50" t="s">
        <v>52</v>
      </c>
      <c r="B26" s="56">
        <v>0</v>
      </c>
      <c r="C26" s="56">
        <v>0</v>
      </c>
      <c r="D26" s="56">
        <v>16</v>
      </c>
      <c r="E26" s="56">
        <v>0</v>
      </c>
      <c r="F26" s="56">
        <v>0</v>
      </c>
      <c r="G26" s="56">
        <v>1</v>
      </c>
      <c r="H26" s="56">
        <v>0</v>
      </c>
      <c r="I26" s="56">
        <v>0</v>
      </c>
      <c r="J26" s="52">
        <f t="shared" si="0"/>
        <v>18</v>
      </c>
      <c r="K26" s="53"/>
      <c r="L26" s="53"/>
      <c r="M26" s="53"/>
    </row>
    <row r="27" spans="1:13" ht="14.25" customHeight="1" x14ac:dyDescent="0.25">
      <c r="A27" s="50" t="s">
        <v>53</v>
      </c>
      <c r="B27" s="56">
        <v>0</v>
      </c>
      <c r="C27" s="56">
        <v>0</v>
      </c>
      <c r="D27" s="56">
        <v>20</v>
      </c>
      <c r="E27" s="56">
        <v>1</v>
      </c>
      <c r="F27" s="56">
        <v>0</v>
      </c>
      <c r="G27" s="56">
        <v>0</v>
      </c>
      <c r="H27" s="56">
        <v>0</v>
      </c>
      <c r="I27" s="56">
        <v>0</v>
      </c>
      <c r="J27" s="52">
        <f t="shared" si="0"/>
        <v>22</v>
      </c>
      <c r="K27" s="54">
        <f>J27+J26</f>
        <v>40</v>
      </c>
      <c r="L27" s="55"/>
      <c r="M27" s="55"/>
    </row>
    <row r="28" spans="1:13" ht="14.25" customHeight="1" x14ac:dyDescent="0.25">
      <c r="A28" s="50" t="s">
        <v>54</v>
      </c>
      <c r="B28" s="56">
        <v>0</v>
      </c>
      <c r="C28" s="56">
        <v>0</v>
      </c>
      <c r="D28" s="56">
        <v>19</v>
      </c>
      <c r="E28" s="56">
        <v>0</v>
      </c>
      <c r="F28" s="56">
        <v>0</v>
      </c>
      <c r="G28" s="56">
        <v>0</v>
      </c>
      <c r="H28" s="56">
        <v>0</v>
      </c>
      <c r="I28" s="56">
        <v>0</v>
      </c>
      <c r="J28" s="52">
        <f t="shared" si="0"/>
        <v>19</v>
      </c>
      <c r="K28" s="53"/>
      <c r="L28" s="54"/>
      <c r="M28" s="54"/>
    </row>
    <row r="29" spans="1:13" ht="14.25" customHeight="1" x14ac:dyDescent="0.25">
      <c r="A29" s="50" t="s">
        <v>55</v>
      </c>
      <c r="B29" s="56">
        <v>0</v>
      </c>
      <c r="C29" s="56">
        <v>0</v>
      </c>
      <c r="D29" s="56">
        <v>12</v>
      </c>
      <c r="E29" s="56">
        <v>0</v>
      </c>
      <c r="F29" s="56">
        <v>0</v>
      </c>
      <c r="G29" s="56">
        <v>1</v>
      </c>
      <c r="H29" s="56">
        <v>0</v>
      </c>
      <c r="I29" s="56">
        <v>0</v>
      </c>
      <c r="J29" s="52">
        <f t="shared" si="0"/>
        <v>14</v>
      </c>
      <c r="K29" s="54">
        <f>J29+J28</f>
        <v>33</v>
      </c>
      <c r="L29" s="54">
        <f>SUM(J26:J29)</f>
        <v>73</v>
      </c>
      <c r="M29" s="54">
        <f>SUM(C26:I29)</f>
        <v>70</v>
      </c>
    </row>
    <row r="30" spans="1:13" ht="14.25" customHeight="1" x14ac:dyDescent="0.25">
      <c r="A30" s="50" t="s">
        <v>56</v>
      </c>
      <c r="B30" s="56">
        <v>0</v>
      </c>
      <c r="C30" s="56">
        <v>1</v>
      </c>
      <c r="D30" s="56">
        <v>18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2">
        <f t="shared" si="0"/>
        <v>18.5</v>
      </c>
      <c r="K30" s="53"/>
      <c r="L30" s="53"/>
      <c r="M30" s="53"/>
    </row>
    <row r="31" spans="1:13" ht="14.25" customHeight="1" x14ac:dyDescent="0.25">
      <c r="A31" s="50" t="s">
        <v>57</v>
      </c>
      <c r="B31" s="56">
        <v>0</v>
      </c>
      <c r="C31" s="56">
        <v>0</v>
      </c>
      <c r="D31" s="56">
        <v>17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2">
        <f t="shared" si="0"/>
        <v>17</v>
      </c>
      <c r="K31" s="54">
        <f>J31+J30</f>
        <v>35.5</v>
      </c>
      <c r="L31" s="55"/>
      <c r="M31" s="55"/>
    </row>
    <row r="32" spans="1:13" ht="14.25" customHeight="1" x14ac:dyDescent="0.25">
      <c r="A32" s="50" t="s">
        <v>58</v>
      </c>
      <c r="B32" s="56">
        <v>0</v>
      </c>
      <c r="C32" s="56">
        <v>0</v>
      </c>
      <c r="D32" s="56">
        <v>12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2">
        <f t="shared" si="0"/>
        <v>12</v>
      </c>
      <c r="K32" s="53"/>
      <c r="L32" s="54"/>
      <c r="M32" s="54"/>
    </row>
    <row r="33" spans="1:13" ht="14.25" customHeight="1" x14ac:dyDescent="0.25">
      <c r="A33" s="50" t="s">
        <v>59</v>
      </c>
      <c r="B33" s="56">
        <v>0</v>
      </c>
      <c r="C33" s="56">
        <v>0</v>
      </c>
      <c r="D33" s="56">
        <v>16</v>
      </c>
      <c r="E33" s="56">
        <v>0</v>
      </c>
      <c r="F33" s="56">
        <v>0</v>
      </c>
      <c r="G33" s="56">
        <v>1</v>
      </c>
      <c r="H33" s="56">
        <v>0</v>
      </c>
      <c r="I33" s="56">
        <v>0</v>
      </c>
      <c r="J33" s="52">
        <f t="shared" si="0"/>
        <v>18</v>
      </c>
      <c r="K33" s="54">
        <f>J33+J32</f>
        <v>30</v>
      </c>
      <c r="L33" s="54">
        <f>SUM(J30:J33)</f>
        <v>65.5</v>
      </c>
      <c r="M33" s="54">
        <f>SUM(C30:I33)</f>
        <v>65</v>
      </c>
    </row>
    <row r="34" spans="1:13" ht="14.25" customHeight="1" x14ac:dyDescent="0.25">
      <c r="A34" s="50" t="s">
        <v>60</v>
      </c>
      <c r="B34" s="56">
        <v>0</v>
      </c>
      <c r="C34" s="56">
        <v>0</v>
      </c>
      <c r="D34" s="56">
        <v>8</v>
      </c>
      <c r="E34" s="56">
        <v>1</v>
      </c>
      <c r="F34" s="56">
        <v>0</v>
      </c>
      <c r="G34" s="56">
        <v>0</v>
      </c>
      <c r="H34" s="56">
        <v>0</v>
      </c>
      <c r="I34" s="56">
        <v>0</v>
      </c>
      <c r="J34" s="52">
        <f t="shared" si="0"/>
        <v>10</v>
      </c>
      <c r="K34" s="53"/>
      <c r="L34" s="53"/>
      <c r="M34" s="53"/>
    </row>
    <row r="35" spans="1:13" ht="14.25" customHeight="1" x14ac:dyDescent="0.25">
      <c r="A35" s="50" t="s">
        <v>61</v>
      </c>
      <c r="B35" s="56">
        <v>0</v>
      </c>
      <c r="C35" s="56">
        <v>0</v>
      </c>
      <c r="D35" s="56">
        <v>9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2">
        <f t="shared" si="0"/>
        <v>9</v>
      </c>
      <c r="K35" s="54">
        <f>J35+J34</f>
        <v>19</v>
      </c>
      <c r="L35" s="55"/>
      <c r="M35" s="55"/>
    </row>
    <row r="36" spans="1:13" ht="14.25" customHeight="1" x14ac:dyDescent="0.25">
      <c r="A36" s="50" t="s">
        <v>62</v>
      </c>
      <c r="B36" s="56">
        <v>0</v>
      </c>
      <c r="C36" s="56">
        <v>0</v>
      </c>
      <c r="D36" s="56">
        <v>10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2">
        <f t="shared" si="0"/>
        <v>10</v>
      </c>
      <c r="K36" s="53"/>
      <c r="L36" s="54"/>
      <c r="M36" s="54"/>
    </row>
    <row r="37" spans="1:13" ht="14.25" customHeight="1" x14ac:dyDescent="0.25">
      <c r="A37" s="50" t="s">
        <v>63</v>
      </c>
      <c r="B37" s="56">
        <v>0</v>
      </c>
      <c r="C37" s="56">
        <v>0</v>
      </c>
      <c r="D37" s="56">
        <v>13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2">
        <f t="shared" si="0"/>
        <v>13</v>
      </c>
      <c r="K37" s="54">
        <f>J37+J36</f>
        <v>23</v>
      </c>
      <c r="L37" s="54">
        <f>SUM(J34:J37)</f>
        <v>42</v>
      </c>
      <c r="M37" s="54">
        <f>SUM(C34:I37)</f>
        <v>41</v>
      </c>
    </row>
    <row r="38" spans="1:13" ht="14.25" customHeight="1" x14ac:dyDescent="0.25">
      <c r="A38" s="50" t="s">
        <v>64</v>
      </c>
      <c r="B38" s="56">
        <v>0</v>
      </c>
      <c r="C38" s="56">
        <v>0</v>
      </c>
      <c r="D38" s="56">
        <v>23</v>
      </c>
      <c r="E38" s="56">
        <v>1</v>
      </c>
      <c r="F38" s="56">
        <v>0</v>
      </c>
      <c r="G38" s="56">
        <v>0</v>
      </c>
      <c r="H38" s="56">
        <v>0</v>
      </c>
      <c r="I38" s="56">
        <v>0</v>
      </c>
      <c r="J38" s="52">
        <f t="shared" si="0"/>
        <v>25</v>
      </c>
      <c r="K38" s="53"/>
      <c r="L38" s="53"/>
      <c r="M38" s="53"/>
    </row>
    <row r="39" spans="1:13" ht="14.25" customHeight="1" x14ac:dyDescent="0.25">
      <c r="A39" s="50" t="s">
        <v>65</v>
      </c>
      <c r="B39" s="56">
        <v>0</v>
      </c>
      <c r="C39" s="56">
        <v>0</v>
      </c>
      <c r="D39" s="56">
        <v>23</v>
      </c>
      <c r="E39" s="56">
        <v>0</v>
      </c>
      <c r="F39" s="56">
        <v>0</v>
      </c>
      <c r="G39" s="56">
        <v>1</v>
      </c>
      <c r="H39" s="56">
        <v>0</v>
      </c>
      <c r="I39" s="56">
        <v>0</v>
      </c>
      <c r="J39" s="52">
        <f t="shared" si="0"/>
        <v>25</v>
      </c>
      <c r="K39" s="54">
        <f>J39+J38</f>
        <v>50</v>
      </c>
      <c r="L39" s="55"/>
      <c r="M39" s="55"/>
    </row>
    <row r="40" spans="1:13" ht="14.25" customHeight="1" x14ac:dyDescent="0.25">
      <c r="A40" s="50" t="s">
        <v>66</v>
      </c>
      <c r="B40" s="56">
        <v>0</v>
      </c>
      <c r="C40" s="56">
        <v>0</v>
      </c>
      <c r="D40" s="56">
        <v>24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2">
        <f t="shared" si="0"/>
        <v>24</v>
      </c>
      <c r="K40" s="53"/>
      <c r="L40" s="54"/>
      <c r="M40" s="54"/>
    </row>
    <row r="41" spans="1:13" ht="14.25" customHeight="1" x14ac:dyDescent="0.25">
      <c r="A41" s="50" t="s">
        <v>67</v>
      </c>
      <c r="B41" s="56">
        <v>0</v>
      </c>
      <c r="C41" s="56">
        <v>0</v>
      </c>
      <c r="D41" s="56">
        <v>19</v>
      </c>
      <c r="E41" s="56">
        <v>1</v>
      </c>
      <c r="F41" s="56">
        <v>0</v>
      </c>
      <c r="G41" s="56">
        <v>0</v>
      </c>
      <c r="H41" s="56">
        <v>0</v>
      </c>
      <c r="I41" s="56">
        <v>0</v>
      </c>
      <c r="J41" s="52">
        <f t="shared" si="0"/>
        <v>21</v>
      </c>
      <c r="K41" s="54">
        <f>J41+J40</f>
        <v>45</v>
      </c>
      <c r="L41" s="54">
        <f>SUM(J38:J41)</f>
        <v>95</v>
      </c>
      <c r="M41" s="54">
        <f>SUM(C38:I41)</f>
        <v>92</v>
      </c>
    </row>
    <row r="42" spans="1:13" ht="14.25" customHeight="1" x14ac:dyDescent="0.25">
      <c r="A42" s="50" t="s">
        <v>68</v>
      </c>
      <c r="B42" s="56">
        <v>0</v>
      </c>
      <c r="C42" s="56">
        <v>0</v>
      </c>
      <c r="D42" s="56">
        <v>20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2">
        <f t="shared" si="0"/>
        <v>20</v>
      </c>
      <c r="K42" s="53"/>
      <c r="L42" s="53"/>
      <c r="M42" s="53"/>
    </row>
    <row r="43" spans="1:13" ht="14.25" customHeight="1" x14ac:dyDescent="0.25">
      <c r="A43" s="50" t="s">
        <v>69</v>
      </c>
      <c r="B43" s="56">
        <v>0</v>
      </c>
      <c r="C43" s="56">
        <v>0</v>
      </c>
      <c r="D43" s="56">
        <v>19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2">
        <f t="shared" si="0"/>
        <v>19</v>
      </c>
      <c r="K43" s="54">
        <f>J43+J42</f>
        <v>39</v>
      </c>
      <c r="L43" s="55"/>
      <c r="M43" s="55"/>
    </row>
    <row r="44" spans="1:13" ht="14.25" customHeight="1" x14ac:dyDescent="0.25">
      <c r="A44" s="50" t="s">
        <v>70</v>
      </c>
      <c r="B44" s="56">
        <v>0</v>
      </c>
      <c r="C44" s="56">
        <v>0</v>
      </c>
      <c r="D44" s="56">
        <v>38</v>
      </c>
      <c r="E44" s="56">
        <v>1</v>
      </c>
      <c r="F44" s="56">
        <v>0</v>
      </c>
      <c r="G44" s="56">
        <v>1</v>
      </c>
      <c r="H44" s="56">
        <v>1</v>
      </c>
      <c r="I44" s="56">
        <v>0</v>
      </c>
      <c r="J44" s="52">
        <f t="shared" si="0"/>
        <v>45</v>
      </c>
      <c r="K44" s="53"/>
      <c r="L44" s="54"/>
      <c r="M44" s="54"/>
    </row>
    <row r="45" spans="1:13" ht="14.25" customHeight="1" x14ac:dyDescent="0.25">
      <c r="A45" s="50" t="s">
        <v>71</v>
      </c>
      <c r="B45" s="56">
        <v>0</v>
      </c>
      <c r="C45" s="56">
        <v>0</v>
      </c>
      <c r="D45" s="56">
        <v>16</v>
      </c>
      <c r="E45" s="56">
        <v>1</v>
      </c>
      <c r="F45" s="56">
        <v>0</v>
      </c>
      <c r="G45" s="56">
        <v>0</v>
      </c>
      <c r="H45" s="56">
        <v>0</v>
      </c>
      <c r="I45" s="56">
        <v>0</v>
      </c>
      <c r="J45" s="52">
        <f t="shared" si="0"/>
        <v>18</v>
      </c>
      <c r="K45" s="54">
        <f>J45+J44</f>
        <v>63</v>
      </c>
      <c r="L45" s="54">
        <f>SUM(J42:J45)</f>
        <v>102</v>
      </c>
      <c r="M45" s="54">
        <f>SUM(C42:I45)</f>
        <v>97</v>
      </c>
    </row>
    <row r="46" spans="1:13" ht="14.25" customHeight="1" x14ac:dyDescent="0.25">
      <c r="A46" s="50" t="s">
        <v>72</v>
      </c>
      <c r="B46" s="56">
        <v>0</v>
      </c>
      <c r="C46" s="56">
        <v>0</v>
      </c>
      <c r="D46" s="56">
        <v>26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2">
        <f t="shared" ref="J46:J77" si="1">SUMPRODUCT(B46:I46,$B$11:$I$11)</f>
        <v>26</v>
      </c>
      <c r="K46" s="53"/>
      <c r="L46" s="53"/>
      <c r="M46" s="53"/>
    </row>
    <row r="47" spans="1:13" ht="14.25" customHeight="1" x14ac:dyDescent="0.25">
      <c r="A47" s="50" t="s">
        <v>73</v>
      </c>
      <c r="B47" s="56">
        <v>0</v>
      </c>
      <c r="C47" s="56">
        <v>0</v>
      </c>
      <c r="D47" s="56">
        <v>23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2">
        <f t="shared" si="1"/>
        <v>23</v>
      </c>
      <c r="K47" s="54">
        <f>J47+J46</f>
        <v>49</v>
      </c>
      <c r="L47" s="55"/>
      <c r="M47" s="55"/>
    </row>
    <row r="48" spans="1:13" ht="14.25" customHeight="1" x14ac:dyDescent="0.25">
      <c r="A48" s="50" t="s">
        <v>74</v>
      </c>
      <c r="B48" s="56">
        <v>0</v>
      </c>
      <c r="C48" s="56">
        <v>1</v>
      </c>
      <c r="D48" s="56">
        <v>15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2">
        <f t="shared" si="1"/>
        <v>15.5</v>
      </c>
      <c r="K48" s="53"/>
      <c r="L48" s="54"/>
      <c r="M48" s="54"/>
    </row>
    <row r="49" spans="1:13" ht="14.25" customHeight="1" x14ac:dyDescent="0.25">
      <c r="A49" s="50" t="s">
        <v>75</v>
      </c>
      <c r="B49" s="56">
        <v>0</v>
      </c>
      <c r="C49" s="56">
        <v>0</v>
      </c>
      <c r="D49" s="56">
        <v>22</v>
      </c>
      <c r="E49" s="56">
        <v>0</v>
      </c>
      <c r="F49" s="56">
        <v>0</v>
      </c>
      <c r="G49" s="56">
        <v>0</v>
      </c>
      <c r="H49" s="56">
        <v>0</v>
      </c>
      <c r="I49" s="56">
        <v>0</v>
      </c>
      <c r="J49" s="52">
        <f t="shared" si="1"/>
        <v>22</v>
      </c>
      <c r="K49" s="54">
        <f>J49+J48</f>
        <v>37.5</v>
      </c>
      <c r="L49" s="54">
        <f>SUM(J46:J49)</f>
        <v>86.5</v>
      </c>
      <c r="M49" s="54">
        <f>SUM(C46:I49)</f>
        <v>87</v>
      </c>
    </row>
    <row r="50" spans="1:13" ht="14.25" customHeight="1" x14ac:dyDescent="0.25">
      <c r="A50" s="50" t="s">
        <v>76</v>
      </c>
      <c r="B50" s="56">
        <v>0</v>
      </c>
      <c r="C50" s="56">
        <v>0</v>
      </c>
      <c r="D50" s="56">
        <v>20</v>
      </c>
      <c r="E50" s="56">
        <v>1</v>
      </c>
      <c r="F50" s="56">
        <v>0</v>
      </c>
      <c r="G50" s="56">
        <v>0</v>
      </c>
      <c r="H50" s="56">
        <v>0</v>
      </c>
      <c r="I50" s="56">
        <v>0</v>
      </c>
      <c r="J50" s="52">
        <f t="shared" si="1"/>
        <v>22</v>
      </c>
      <c r="K50" s="53"/>
      <c r="L50" s="53"/>
      <c r="M50" s="53"/>
    </row>
    <row r="51" spans="1:13" ht="14.25" customHeight="1" x14ac:dyDescent="0.25">
      <c r="A51" s="50" t="s">
        <v>77</v>
      </c>
      <c r="B51" s="56">
        <v>0</v>
      </c>
      <c r="C51" s="56">
        <v>0</v>
      </c>
      <c r="D51" s="56">
        <v>22</v>
      </c>
      <c r="E51" s="56">
        <v>0</v>
      </c>
      <c r="F51" s="56">
        <v>0</v>
      </c>
      <c r="G51" s="56">
        <v>0</v>
      </c>
      <c r="H51" s="56">
        <v>0</v>
      </c>
      <c r="I51" s="56">
        <v>1</v>
      </c>
      <c r="J51" s="52">
        <f t="shared" si="1"/>
        <v>24</v>
      </c>
      <c r="K51" s="54">
        <f>J51+J50</f>
        <v>46</v>
      </c>
      <c r="L51" s="55"/>
      <c r="M51" s="55"/>
    </row>
    <row r="52" spans="1:13" ht="14.25" customHeight="1" x14ac:dyDescent="0.25">
      <c r="A52" s="50" t="s">
        <v>78</v>
      </c>
      <c r="B52" s="56">
        <v>0</v>
      </c>
      <c r="C52" s="56">
        <v>0</v>
      </c>
      <c r="D52" s="56">
        <v>20</v>
      </c>
      <c r="E52" s="56">
        <v>1</v>
      </c>
      <c r="F52" s="56">
        <v>0</v>
      </c>
      <c r="G52" s="56">
        <v>0</v>
      </c>
      <c r="H52" s="56">
        <v>0</v>
      </c>
      <c r="I52" s="56">
        <v>0</v>
      </c>
      <c r="J52" s="52">
        <f t="shared" si="1"/>
        <v>22</v>
      </c>
      <c r="K52" s="53"/>
      <c r="L52" s="54"/>
      <c r="M52" s="54"/>
    </row>
    <row r="53" spans="1:13" ht="14.25" customHeight="1" x14ac:dyDescent="0.25">
      <c r="A53" s="50" t="s">
        <v>79</v>
      </c>
      <c r="B53" s="56">
        <v>0</v>
      </c>
      <c r="C53" s="56">
        <v>0</v>
      </c>
      <c r="D53" s="56">
        <v>22</v>
      </c>
      <c r="E53" s="56">
        <v>1</v>
      </c>
      <c r="F53" s="56">
        <v>0</v>
      </c>
      <c r="G53" s="56">
        <v>0</v>
      </c>
      <c r="H53" s="56">
        <v>0</v>
      </c>
      <c r="I53" s="56">
        <v>0</v>
      </c>
      <c r="J53" s="52">
        <f t="shared" si="1"/>
        <v>24</v>
      </c>
      <c r="K53" s="54">
        <f>J53+J52</f>
        <v>46</v>
      </c>
      <c r="L53" s="54">
        <f>SUM(J50:J53)</f>
        <v>92</v>
      </c>
      <c r="M53" s="54">
        <f>SUM(C50:I53)</f>
        <v>88</v>
      </c>
    </row>
    <row r="54" spans="1:13" ht="14.25" customHeight="1" x14ac:dyDescent="0.25">
      <c r="A54" s="50" t="s">
        <v>80</v>
      </c>
      <c r="B54" s="56">
        <v>0</v>
      </c>
      <c r="C54" s="56">
        <v>1</v>
      </c>
      <c r="D54" s="56">
        <v>25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2">
        <f t="shared" si="1"/>
        <v>25.5</v>
      </c>
      <c r="K54" s="53"/>
      <c r="L54" s="53"/>
      <c r="M54" s="53"/>
    </row>
    <row r="55" spans="1:13" ht="14.25" customHeight="1" x14ac:dyDescent="0.25">
      <c r="A55" s="50" t="s">
        <v>81</v>
      </c>
      <c r="B55" s="56">
        <v>0</v>
      </c>
      <c r="C55" s="56">
        <v>0</v>
      </c>
      <c r="D55" s="56">
        <v>24</v>
      </c>
      <c r="E55" s="56">
        <v>0</v>
      </c>
      <c r="F55" s="56">
        <v>0</v>
      </c>
      <c r="G55" s="56">
        <v>0</v>
      </c>
      <c r="H55" s="56">
        <v>0</v>
      </c>
      <c r="I55" s="56">
        <v>0</v>
      </c>
      <c r="J55" s="52">
        <f t="shared" si="1"/>
        <v>24</v>
      </c>
      <c r="K55" s="54">
        <f>J55+J54</f>
        <v>49.5</v>
      </c>
      <c r="L55" s="55"/>
      <c r="M55" s="55"/>
    </row>
    <row r="56" spans="1:13" ht="14.25" customHeight="1" x14ac:dyDescent="0.25">
      <c r="A56" s="50" t="s">
        <v>82</v>
      </c>
      <c r="B56" s="56">
        <v>0</v>
      </c>
      <c r="C56" s="56">
        <v>2</v>
      </c>
      <c r="D56" s="56">
        <v>26</v>
      </c>
      <c r="E56" s="56">
        <v>0</v>
      </c>
      <c r="F56" s="56">
        <v>0</v>
      </c>
      <c r="G56" s="56">
        <v>0</v>
      </c>
      <c r="H56" s="56">
        <v>0</v>
      </c>
      <c r="I56" s="56">
        <v>0</v>
      </c>
      <c r="J56" s="52">
        <f t="shared" si="1"/>
        <v>27</v>
      </c>
      <c r="K56" s="53"/>
      <c r="L56" s="54"/>
      <c r="M56" s="54"/>
    </row>
    <row r="57" spans="1:13" ht="14.25" customHeight="1" x14ac:dyDescent="0.25">
      <c r="A57" s="50" t="s">
        <v>83</v>
      </c>
      <c r="B57" s="56">
        <v>0</v>
      </c>
      <c r="C57" s="56">
        <v>0</v>
      </c>
      <c r="D57" s="56">
        <v>22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2">
        <f t="shared" si="1"/>
        <v>22</v>
      </c>
      <c r="K57" s="57">
        <f>J57+J56</f>
        <v>49</v>
      </c>
      <c r="L57" s="54">
        <f>SUM(J54:J57)</f>
        <v>98.5</v>
      </c>
      <c r="M57" s="54">
        <f>SUM(C54:I57)</f>
        <v>100</v>
      </c>
    </row>
    <row r="58" spans="1:13" ht="14.25" customHeight="1" x14ac:dyDescent="0.25">
      <c r="A58" s="50" t="s">
        <v>84</v>
      </c>
      <c r="B58" s="56">
        <v>0</v>
      </c>
      <c r="C58" s="56">
        <v>0</v>
      </c>
      <c r="D58" s="56">
        <v>36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2">
        <f t="shared" si="1"/>
        <v>36</v>
      </c>
      <c r="K58" s="53"/>
      <c r="L58" s="53"/>
      <c r="M58" s="53"/>
    </row>
    <row r="59" spans="1:13" ht="14.25" customHeight="1" x14ac:dyDescent="0.25">
      <c r="A59" s="50" t="s">
        <v>85</v>
      </c>
      <c r="B59" s="56">
        <v>0</v>
      </c>
      <c r="C59" s="56">
        <v>0</v>
      </c>
      <c r="D59" s="56">
        <v>32</v>
      </c>
      <c r="E59" s="56">
        <v>1</v>
      </c>
      <c r="F59" s="56">
        <v>0</v>
      </c>
      <c r="G59" s="56">
        <v>0</v>
      </c>
      <c r="H59" s="56">
        <v>0</v>
      </c>
      <c r="I59" s="56">
        <v>0</v>
      </c>
      <c r="J59" s="52">
        <f t="shared" si="1"/>
        <v>34</v>
      </c>
      <c r="K59" s="54">
        <f>J59+J58</f>
        <v>70</v>
      </c>
      <c r="L59" s="55"/>
      <c r="M59" s="55"/>
    </row>
    <row r="60" spans="1:13" ht="14.25" customHeight="1" x14ac:dyDescent="0.25">
      <c r="A60" s="50" t="s">
        <v>86</v>
      </c>
      <c r="B60" s="56">
        <v>0</v>
      </c>
      <c r="C60" s="56">
        <v>1</v>
      </c>
      <c r="D60" s="56">
        <v>26</v>
      </c>
      <c r="E60" s="56">
        <v>0</v>
      </c>
      <c r="F60" s="56">
        <v>0</v>
      </c>
      <c r="G60" s="56">
        <v>0</v>
      </c>
      <c r="H60" s="56">
        <v>0</v>
      </c>
      <c r="I60" s="56">
        <v>0</v>
      </c>
      <c r="J60" s="52">
        <f t="shared" si="1"/>
        <v>26.5</v>
      </c>
      <c r="K60" s="53"/>
      <c r="L60" s="54"/>
      <c r="M60" s="54"/>
    </row>
    <row r="61" spans="1:13" ht="14.25" customHeight="1" x14ac:dyDescent="0.25">
      <c r="A61" s="50" t="s">
        <v>87</v>
      </c>
      <c r="B61" s="56">
        <v>0</v>
      </c>
      <c r="C61" s="56">
        <v>0</v>
      </c>
      <c r="D61" s="56">
        <v>21</v>
      </c>
      <c r="E61" s="56">
        <v>0</v>
      </c>
      <c r="F61" s="56">
        <v>0</v>
      </c>
      <c r="G61" s="56">
        <v>0</v>
      </c>
      <c r="H61" s="56">
        <v>0</v>
      </c>
      <c r="I61" s="56">
        <v>0</v>
      </c>
      <c r="J61" s="52">
        <f t="shared" si="1"/>
        <v>21</v>
      </c>
      <c r="K61" s="54">
        <f>J61+J60</f>
        <v>47.5</v>
      </c>
      <c r="L61" s="54">
        <f>SUM(J58:J61)</f>
        <v>117.5</v>
      </c>
      <c r="M61" s="54">
        <f>SUM(C58:I61)</f>
        <v>117</v>
      </c>
    </row>
    <row r="62" spans="1:13" ht="14.25" customHeight="1" x14ac:dyDescent="0.25">
      <c r="A62" s="50" t="s">
        <v>88</v>
      </c>
      <c r="B62" s="56">
        <v>0</v>
      </c>
      <c r="C62" s="56">
        <v>0</v>
      </c>
      <c r="D62" s="56">
        <v>14</v>
      </c>
      <c r="E62" s="56">
        <v>0</v>
      </c>
      <c r="F62" s="56">
        <v>0</v>
      </c>
      <c r="G62" s="56">
        <v>0</v>
      </c>
      <c r="H62" s="56">
        <v>0</v>
      </c>
      <c r="I62" s="56">
        <v>0</v>
      </c>
      <c r="J62" s="52">
        <f t="shared" si="1"/>
        <v>14</v>
      </c>
      <c r="K62" s="53"/>
      <c r="L62" s="53"/>
      <c r="M62" s="53"/>
    </row>
    <row r="63" spans="1:13" ht="14.25" customHeight="1" x14ac:dyDescent="0.25">
      <c r="A63" s="50" t="s">
        <v>89</v>
      </c>
      <c r="B63" s="56">
        <v>0</v>
      </c>
      <c r="C63" s="56">
        <v>0</v>
      </c>
      <c r="D63" s="56">
        <v>20</v>
      </c>
      <c r="E63" s="56">
        <v>1</v>
      </c>
      <c r="F63" s="56">
        <v>0</v>
      </c>
      <c r="G63" s="56">
        <v>0</v>
      </c>
      <c r="H63" s="56">
        <v>0</v>
      </c>
      <c r="I63" s="56">
        <v>0</v>
      </c>
      <c r="J63" s="52">
        <f t="shared" si="1"/>
        <v>22</v>
      </c>
      <c r="K63" s="54">
        <f>J63+J62</f>
        <v>36</v>
      </c>
      <c r="L63" s="55"/>
      <c r="M63" s="55"/>
    </row>
    <row r="64" spans="1:13" ht="14.25" customHeight="1" x14ac:dyDescent="0.25">
      <c r="A64" s="50" t="s">
        <v>90</v>
      </c>
      <c r="B64" s="56">
        <v>0</v>
      </c>
      <c r="C64" s="56">
        <v>0</v>
      </c>
      <c r="D64" s="56">
        <v>20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2">
        <f t="shared" si="1"/>
        <v>20</v>
      </c>
      <c r="K64" s="53"/>
      <c r="L64" s="54"/>
      <c r="M64" s="54"/>
    </row>
    <row r="65" spans="1:13" ht="14.25" customHeight="1" x14ac:dyDescent="0.25">
      <c r="A65" s="50" t="s">
        <v>91</v>
      </c>
      <c r="B65" s="56">
        <v>0</v>
      </c>
      <c r="C65" s="56">
        <v>0</v>
      </c>
      <c r="D65" s="56">
        <v>16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2">
        <f t="shared" si="1"/>
        <v>16</v>
      </c>
      <c r="K65" s="54">
        <f>J65+J64</f>
        <v>36</v>
      </c>
      <c r="L65" s="54">
        <f>SUM(J62:J65)</f>
        <v>72</v>
      </c>
      <c r="M65" s="54">
        <f>SUM(C62:I65)</f>
        <v>71</v>
      </c>
    </row>
    <row r="66" spans="1:13" ht="14.25" customHeight="1" x14ac:dyDescent="0.25">
      <c r="A66" s="50" t="s">
        <v>92</v>
      </c>
      <c r="B66" s="56">
        <v>0</v>
      </c>
      <c r="C66" s="56">
        <v>1</v>
      </c>
      <c r="D66" s="56">
        <v>32</v>
      </c>
      <c r="E66" s="56">
        <v>1</v>
      </c>
      <c r="F66" s="56">
        <v>0</v>
      </c>
      <c r="G66" s="56">
        <v>0</v>
      </c>
      <c r="H66" s="56">
        <v>0</v>
      </c>
      <c r="I66" s="56">
        <v>0</v>
      </c>
      <c r="J66" s="52">
        <f t="shared" si="1"/>
        <v>34.5</v>
      </c>
      <c r="K66" s="53"/>
      <c r="L66" s="53"/>
      <c r="M66" s="53"/>
    </row>
    <row r="67" spans="1:13" ht="14.25" customHeight="1" x14ac:dyDescent="0.25">
      <c r="A67" s="50" t="s">
        <v>93</v>
      </c>
      <c r="B67" s="56">
        <v>0</v>
      </c>
      <c r="C67" s="56">
        <v>1</v>
      </c>
      <c r="D67" s="56">
        <v>15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2">
        <f t="shared" si="1"/>
        <v>15.5</v>
      </c>
      <c r="K67" s="54">
        <f>J67+J66</f>
        <v>50</v>
      </c>
      <c r="L67" s="55"/>
      <c r="M67" s="55"/>
    </row>
    <row r="68" spans="1:13" ht="14.25" customHeight="1" x14ac:dyDescent="0.25">
      <c r="A68" s="50" t="s">
        <v>94</v>
      </c>
      <c r="B68" s="56">
        <v>0</v>
      </c>
      <c r="C68" s="56">
        <v>0</v>
      </c>
      <c r="D68" s="56">
        <v>20</v>
      </c>
      <c r="E68" s="56">
        <v>0</v>
      </c>
      <c r="F68" s="56">
        <v>0</v>
      </c>
      <c r="G68" s="56">
        <v>1</v>
      </c>
      <c r="H68" s="56">
        <v>0</v>
      </c>
      <c r="I68" s="56">
        <v>0</v>
      </c>
      <c r="J68" s="52">
        <f t="shared" si="1"/>
        <v>22</v>
      </c>
      <c r="K68" s="53"/>
      <c r="L68" s="54"/>
      <c r="M68" s="54"/>
    </row>
    <row r="69" spans="1:13" ht="14.25" customHeight="1" x14ac:dyDescent="0.25">
      <c r="A69" s="50" t="s">
        <v>95</v>
      </c>
      <c r="B69" s="56">
        <v>0</v>
      </c>
      <c r="C69" s="56">
        <v>0</v>
      </c>
      <c r="D69" s="56">
        <v>12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2">
        <f t="shared" si="1"/>
        <v>12</v>
      </c>
      <c r="K69" s="54">
        <f>J69+J68</f>
        <v>34</v>
      </c>
      <c r="L69" s="54">
        <f>SUM(J66:J69)</f>
        <v>84</v>
      </c>
      <c r="M69" s="54">
        <f>SUM(C66:I69)</f>
        <v>83</v>
      </c>
    </row>
    <row r="70" spans="1:13" ht="14.25" customHeight="1" x14ac:dyDescent="0.25">
      <c r="A70" s="50" t="s">
        <v>96</v>
      </c>
      <c r="B70" s="51"/>
      <c r="C70" s="51"/>
      <c r="D70" s="51"/>
      <c r="E70" s="51"/>
      <c r="F70" s="51"/>
      <c r="G70" s="51"/>
      <c r="H70" s="51"/>
      <c r="I70" s="51"/>
      <c r="J70" s="52">
        <f t="shared" si="1"/>
        <v>0</v>
      </c>
      <c r="K70" s="53"/>
      <c r="L70" s="53"/>
      <c r="M70" s="53"/>
    </row>
    <row r="71" spans="1:13" ht="14.25" customHeight="1" x14ac:dyDescent="0.25">
      <c r="A71" s="50" t="s">
        <v>97</v>
      </c>
      <c r="B71" s="51"/>
      <c r="C71" s="51"/>
      <c r="D71" s="51"/>
      <c r="E71" s="51"/>
      <c r="F71" s="51"/>
      <c r="G71" s="51"/>
      <c r="H71" s="51"/>
      <c r="I71" s="51"/>
      <c r="J71" s="52">
        <f t="shared" si="1"/>
        <v>0</v>
      </c>
      <c r="K71" s="54">
        <f>J71+J70</f>
        <v>0</v>
      </c>
      <c r="L71" s="55"/>
      <c r="M71" s="55"/>
    </row>
    <row r="72" spans="1:13" ht="14.25" customHeight="1" x14ac:dyDescent="0.25">
      <c r="A72" s="50" t="s">
        <v>98</v>
      </c>
      <c r="B72" s="51"/>
      <c r="C72" s="51"/>
      <c r="D72" s="51"/>
      <c r="E72" s="51"/>
      <c r="F72" s="51"/>
      <c r="G72" s="51"/>
      <c r="H72" s="51"/>
      <c r="I72" s="51"/>
      <c r="J72" s="52">
        <f t="shared" si="1"/>
        <v>0</v>
      </c>
      <c r="K72" s="53"/>
      <c r="L72" s="54"/>
      <c r="M72" s="54"/>
    </row>
    <row r="73" spans="1:13" ht="14.25" customHeight="1" x14ac:dyDescent="0.25">
      <c r="A73" s="58" t="s">
        <v>99</v>
      </c>
      <c r="B73" s="51"/>
      <c r="C73" s="51"/>
      <c r="D73" s="51"/>
      <c r="E73" s="51"/>
      <c r="F73" s="51"/>
      <c r="G73" s="51"/>
      <c r="H73" s="51"/>
      <c r="I73" s="51"/>
      <c r="J73" s="52">
        <f t="shared" si="1"/>
        <v>0</v>
      </c>
      <c r="K73" s="54">
        <f>J73+J72</f>
        <v>0</v>
      </c>
      <c r="L73" s="54">
        <f>SUM(J70:J73)</f>
        <v>0</v>
      </c>
      <c r="M73" s="54">
        <f>SUM(C70:I73)</f>
        <v>0</v>
      </c>
    </row>
    <row r="74" spans="1:13" ht="14.25" customHeight="1" x14ac:dyDescent="0.25">
      <c r="A74" s="59" t="s">
        <v>100</v>
      </c>
      <c r="B74" s="51"/>
      <c r="C74" s="51"/>
      <c r="D74" s="51"/>
      <c r="E74" s="51"/>
      <c r="F74" s="51"/>
      <c r="G74" s="51"/>
      <c r="H74" s="51"/>
      <c r="I74" s="51"/>
      <c r="J74" s="52">
        <f t="shared" si="1"/>
        <v>0</v>
      </c>
      <c r="K74" s="53"/>
      <c r="L74" s="53"/>
      <c r="M74" s="53"/>
    </row>
    <row r="75" spans="1:13" ht="14.25" customHeight="1" x14ac:dyDescent="0.25">
      <c r="A75" s="59" t="s">
        <v>101</v>
      </c>
      <c r="B75" s="51"/>
      <c r="C75" s="51"/>
      <c r="D75" s="51"/>
      <c r="E75" s="51"/>
      <c r="F75" s="51"/>
      <c r="G75" s="51"/>
      <c r="H75" s="51"/>
      <c r="I75" s="51"/>
      <c r="J75" s="52">
        <f t="shared" si="1"/>
        <v>0</v>
      </c>
      <c r="K75" s="54">
        <f>J75+J74</f>
        <v>0</v>
      </c>
      <c r="L75" s="55"/>
      <c r="M75" s="55"/>
    </row>
    <row r="76" spans="1:13" ht="14.25" customHeight="1" x14ac:dyDescent="0.25">
      <c r="A76" s="59" t="s">
        <v>102</v>
      </c>
      <c r="B76" s="51"/>
      <c r="C76" s="51"/>
      <c r="D76" s="51"/>
      <c r="E76" s="51"/>
      <c r="F76" s="51"/>
      <c r="G76" s="51"/>
      <c r="H76" s="51"/>
      <c r="I76" s="51"/>
      <c r="J76" s="52">
        <f t="shared" si="1"/>
        <v>0</v>
      </c>
      <c r="K76" s="53"/>
      <c r="L76" s="54"/>
      <c r="M76" s="54"/>
    </row>
    <row r="77" spans="1:13" ht="14.25" customHeight="1" x14ac:dyDescent="0.25">
      <c r="A77" s="59" t="s">
        <v>103</v>
      </c>
      <c r="B77" s="51"/>
      <c r="C77" s="51"/>
      <c r="D77" s="51"/>
      <c r="E77" s="51"/>
      <c r="F77" s="51"/>
      <c r="G77" s="51"/>
      <c r="H77" s="51"/>
      <c r="I77" s="51"/>
      <c r="J77" s="52">
        <f t="shared" si="1"/>
        <v>0</v>
      </c>
      <c r="K77" s="54">
        <f>J77+J76</f>
        <v>0</v>
      </c>
      <c r="L77" s="54">
        <f>SUM(J74:J77)</f>
        <v>0</v>
      </c>
      <c r="M77" s="54">
        <f>SUM(C74:I77)</f>
        <v>0</v>
      </c>
    </row>
    <row r="78" spans="1:13" ht="14.25" customHeight="1" x14ac:dyDescent="0.25">
      <c r="A78" s="59" t="s">
        <v>104</v>
      </c>
      <c r="B78" s="51"/>
      <c r="C78" s="51"/>
      <c r="D78" s="51"/>
      <c r="E78" s="51"/>
      <c r="F78" s="51"/>
      <c r="G78" s="51"/>
      <c r="H78" s="51"/>
      <c r="I78" s="51"/>
      <c r="J78" s="52">
        <f t="shared" ref="J78:J109" si="2">SUMPRODUCT(B78:I78,$B$11:$I$11)</f>
        <v>0</v>
      </c>
      <c r="K78" s="53"/>
      <c r="L78" s="53"/>
      <c r="M78" s="53"/>
    </row>
    <row r="79" spans="1:13" ht="14.25" customHeight="1" x14ac:dyDescent="0.25">
      <c r="A79" s="59" t="s">
        <v>105</v>
      </c>
      <c r="B79" s="51"/>
      <c r="C79" s="51"/>
      <c r="D79" s="51"/>
      <c r="E79" s="51"/>
      <c r="F79" s="51"/>
      <c r="G79" s="51"/>
      <c r="H79" s="51"/>
      <c r="I79" s="51"/>
      <c r="J79" s="52">
        <f t="shared" si="2"/>
        <v>0</v>
      </c>
      <c r="K79" s="54">
        <f>J79+J78</f>
        <v>0</v>
      </c>
      <c r="L79" s="55"/>
      <c r="M79" s="55"/>
    </row>
    <row r="80" spans="1:13" ht="14.25" customHeight="1" x14ac:dyDescent="0.25">
      <c r="A80" s="59" t="s">
        <v>106</v>
      </c>
      <c r="B80" s="51"/>
      <c r="C80" s="51"/>
      <c r="D80" s="51"/>
      <c r="E80" s="51"/>
      <c r="F80" s="51"/>
      <c r="G80" s="51"/>
      <c r="H80" s="51"/>
      <c r="I80" s="51"/>
      <c r="J80" s="52">
        <f t="shared" si="2"/>
        <v>0</v>
      </c>
      <c r="K80" s="53"/>
      <c r="L80" s="54"/>
      <c r="M80" s="54"/>
    </row>
    <row r="81" spans="1:13" ht="14.25" customHeight="1" x14ac:dyDescent="0.25">
      <c r="A81" s="59" t="s">
        <v>107</v>
      </c>
      <c r="B81" s="51"/>
      <c r="C81" s="51"/>
      <c r="D81" s="51"/>
      <c r="E81" s="51"/>
      <c r="F81" s="51"/>
      <c r="G81" s="51"/>
      <c r="H81" s="51"/>
      <c r="I81" s="51"/>
      <c r="J81" s="52">
        <f t="shared" si="2"/>
        <v>0</v>
      </c>
      <c r="K81" s="54">
        <f>J81+J80</f>
        <v>0</v>
      </c>
      <c r="L81" s="54">
        <f>SUM(J78:J81)</f>
        <v>0</v>
      </c>
      <c r="M81" s="54">
        <f>SUM(C78:I81)</f>
        <v>0</v>
      </c>
    </row>
    <row r="82" spans="1:13" ht="14.25" customHeight="1" x14ac:dyDescent="0.45">
      <c r="A82" s="60" t="s">
        <v>108</v>
      </c>
      <c r="B82" s="61">
        <f>SUM(B$14:B81)</f>
        <v>0</v>
      </c>
      <c r="C82" s="61">
        <f>SUM(C$14:C81)</f>
        <v>8</v>
      </c>
      <c r="D82" s="61">
        <f>SUM(D$14:D81)</f>
        <v>982</v>
      </c>
      <c r="E82" s="61">
        <f>SUM(E$14:E81)</f>
        <v>14</v>
      </c>
      <c r="F82" s="61">
        <f>SUM(F$14:F81)</f>
        <v>0</v>
      </c>
      <c r="G82" s="61">
        <f>SUM(G$14:G81)</f>
        <v>7</v>
      </c>
      <c r="H82" s="61">
        <f>SUM(H$14:H81)</f>
        <v>1</v>
      </c>
      <c r="I82" s="61">
        <f>SUM(I$14:I81)</f>
        <v>1</v>
      </c>
      <c r="J82" s="61">
        <f>SUM(B82:I82)</f>
        <v>1013</v>
      </c>
      <c r="K82" s="62"/>
      <c r="L82" s="63"/>
      <c r="M82" s="63"/>
    </row>
    <row r="83" spans="1:13" ht="14.25" customHeight="1" x14ac:dyDescent="0.25"/>
    <row r="84" spans="1:13" ht="14.25" customHeight="1" x14ac:dyDescent="0.25"/>
    <row r="85" spans="1:13" ht="14.25" customHeight="1" x14ac:dyDescent="0.25"/>
    <row r="86" spans="1:13" ht="14.25" customHeight="1" x14ac:dyDescent="0.25"/>
    <row r="87" spans="1:13" ht="14.25" customHeight="1" x14ac:dyDescent="0.25"/>
    <row r="88" spans="1:13" ht="14.25" customHeight="1" x14ac:dyDescent="0.25"/>
    <row r="89" spans="1:13" ht="14.25" customHeight="1" x14ac:dyDescent="0.25"/>
    <row r="90" spans="1:13" ht="14.25" customHeight="1" x14ac:dyDescent="0.25"/>
    <row r="91" spans="1:13" ht="14.25" customHeight="1" x14ac:dyDescent="0.25"/>
    <row r="92" spans="1:13" ht="14.25" customHeight="1" x14ac:dyDescent="0.25"/>
    <row r="93" spans="1:13" ht="14.25" customHeight="1" x14ac:dyDescent="0.25"/>
    <row r="94" spans="1:13" ht="14.25" customHeight="1" x14ac:dyDescent="0.25"/>
    <row r="95" spans="1:13" ht="14.25" customHeight="1" x14ac:dyDescent="0.25"/>
    <row r="96" spans="1:1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</sheetData>
  <mergeCells count="2">
    <mergeCell ref="A3:M3"/>
    <mergeCell ref="A4:M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975"/>
  <sheetViews>
    <sheetView zoomScale="85" zoomScaleNormal="85" workbookViewId="0"/>
  </sheetViews>
  <sheetFormatPr defaultColWidth="15.90625" defaultRowHeight="12.75" customHeight="1" x14ac:dyDescent="0.25"/>
  <cols>
    <col min="1" max="1" width="14.453125" customWidth="1"/>
    <col min="2" max="9" width="6.90625" customWidth="1"/>
    <col min="10" max="13" width="7.453125" customWidth="1"/>
    <col min="16377" max="16384" width="11.54296875" customWidth="1"/>
  </cols>
  <sheetData>
    <row r="1" spans="1:13" ht="14.2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8.75" customHeight="1" x14ac:dyDescent="0.4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35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4.25" customHeight="1" x14ac:dyDescent="0.3">
      <c r="A5" s="24" t="s">
        <v>6</v>
      </c>
      <c r="B5" s="25"/>
      <c r="C5" s="26"/>
      <c r="D5" s="27"/>
      <c r="E5" s="27"/>
      <c r="F5" s="25"/>
      <c r="G5" s="25"/>
      <c r="H5" s="28"/>
      <c r="I5" s="26"/>
      <c r="J5" s="27" t="s">
        <v>3</v>
      </c>
      <c r="K5" s="25">
        <v>0</v>
      </c>
      <c r="L5" s="29"/>
      <c r="M5" s="30"/>
    </row>
    <row r="6" spans="1:13" ht="14.25" customHeight="1" x14ac:dyDescent="0.3">
      <c r="A6" s="31">
        <f>Deckbl.!I11</f>
        <v>45944</v>
      </c>
      <c r="B6" s="9"/>
      <c r="C6" s="8"/>
      <c r="D6" s="8"/>
      <c r="E6" s="9"/>
      <c r="F6" s="9"/>
      <c r="G6" s="9"/>
      <c r="H6" s="9"/>
      <c r="I6" s="8"/>
      <c r="J6" s="12" t="s">
        <v>9</v>
      </c>
      <c r="K6" s="32" t="str">
        <f>Deckbl.!I12</f>
        <v>9-14 ° sonnig</v>
      </c>
      <c r="L6" s="33"/>
      <c r="M6" s="34"/>
    </row>
    <row r="7" spans="1:13" ht="14.25" customHeight="1" x14ac:dyDescent="0.3">
      <c r="A7" s="35"/>
      <c r="B7" s="12" t="s">
        <v>14</v>
      </c>
      <c r="C7" s="36" t="str">
        <f>Deckbl.!C8</f>
        <v>B122 / Badhaller Straße / Holznerweg (Bad Hall)</v>
      </c>
      <c r="D7" s="33"/>
      <c r="E7" s="37"/>
      <c r="F7" s="37"/>
      <c r="G7" s="37"/>
      <c r="H7" s="37"/>
      <c r="I7" s="38"/>
      <c r="J7" s="36"/>
      <c r="K7" s="37"/>
      <c r="L7" s="37"/>
      <c r="M7" s="39"/>
    </row>
    <row r="8" spans="1:13" ht="14.25" customHeight="1" x14ac:dyDescent="0.3">
      <c r="A8" s="35"/>
      <c r="B8" s="12" t="s">
        <v>15</v>
      </c>
      <c r="C8" s="33"/>
      <c r="D8" s="33"/>
      <c r="E8" s="37"/>
      <c r="F8" s="37"/>
      <c r="G8" s="37"/>
      <c r="H8" s="37"/>
      <c r="I8" s="38" t="s">
        <v>7</v>
      </c>
      <c r="J8" s="36" t="s">
        <v>16</v>
      </c>
      <c r="K8" s="40"/>
      <c r="L8" s="37"/>
      <c r="M8" s="39"/>
    </row>
    <row r="9" spans="1:13" ht="14.25" customHeight="1" x14ac:dyDescent="0.3">
      <c r="A9" s="35"/>
      <c r="B9" s="12" t="s">
        <v>17</v>
      </c>
      <c r="C9" s="41" t="s">
        <v>118</v>
      </c>
      <c r="D9" s="8"/>
      <c r="E9" s="9"/>
      <c r="F9" s="9"/>
      <c r="G9" s="9"/>
      <c r="H9" s="9"/>
      <c r="I9" s="12" t="s">
        <v>19</v>
      </c>
      <c r="J9" s="36" t="str">
        <f>Deckbl.!C11</f>
        <v>7-19 Uhr</v>
      </c>
      <c r="K9" s="37"/>
      <c r="L9" s="37"/>
      <c r="M9" s="39"/>
    </row>
    <row r="10" spans="1:13" ht="14.25" customHeight="1" x14ac:dyDescent="0.3">
      <c r="A10" s="35"/>
      <c r="B10" s="38" t="s">
        <v>20</v>
      </c>
      <c r="C10" s="42"/>
      <c r="D10" s="33"/>
      <c r="E10" s="37"/>
      <c r="F10" s="37"/>
      <c r="G10" s="37"/>
      <c r="H10" s="37"/>
      <c r="I10" s="38"/>
      <c r="J10" s="36"/>
      <c r="K10" s="37"/>
      <c r="L10" s="36"/>
      <c r="M10" s="39"/>
    </row>
    <row r="11" spans="1:13" ht="14.25" customHeight="1" x14ac:dyDescent="0.25">
      <c r="A11" s="43" t="s">
        <v>21</v>
      </c>
      <c r="B11" s="44">
        <v>0.3</v>
      </c>
      <c r="C11" s="44">
        <v>0.5</v>
      </c>
      <c r="D11" s="44">
        <v>1</v>
      </c>
      <c r="E11" s="44">
        <v>2</v>
      </c>
      <c r="F11" s="44">
        <v>2</v>
      </c>
      <c r="G11" s="44">
        <v>2</v>
      </c>
      <c r="H11" s="44">
        <v>3</v>
      </c>
      <c r="I11" s="44">
        <v>2</v>
      </c>
      <c r="J11" s="45"/>
      <c r="K11" s="45"/>
      <c r="L11" s="45"/>
      <c r="M11" s="45"/>
    </row>
    <row r="12" spans="1:13" ht="14.25" customHeight="1" x14ac:dyDescent="0.25">
      <c r="A12" s="46"/>
      <c r="B12" s="24"/>
      <c r="C12" s="47" t="s">
        <v>22</v>
      </c>
      <c r="D12" s="24" t="s">
        <v>23</v>
      </c>
      <c r="E12" s="47" t="s">
        <v>24</v>
      </c>
      <c r="F12" s="47" t="s">
        <v>25</v>
      </c>
      <c r="G12" s="24" t="s">
        <v>26</v>
      </c>
      <c r="H12" s="47" t="s">
        <v>27</v>
      </c>
      <c r="I12" s="47" t="s">
        <v>28</v>
      </c>
      <c r="J12" s="48" t="s">
        <v>29</v>
      </c>
      <c r="K12" s="48" t="s">
        <v>29</v>
      </c>
      <c r="L12" s="48" t="s">
        <v>29</v>
      </c>
      <c r="M12" s="48" t="s">
        <v>30</v>
      </c>
    </row>
    <row r="13" spans="1:13" ht="14.25" customHeight="1" x14ac:dyDescent="0.25">
      <c r="A13" s="49" t="s">
        <v>31</v>
      </c>
      <c r="B13" s="47" t="s">
        <v>32</v>
      </c>
      <c r="C13" s="47" t="s">
        <v>30</v>
      </c>
      <c r="D13" s="47" t="s">
        <v>33</v>
      </c>
      <c r="E13" s="47" t="s">
        <v>34</v>
      </c>
      <c r="F13" s="47" t="s">
        <v>34</v>
      </c>
      <c r="G13" s="47"/>
      <c r="H13" s="47" t="s">
        <v>35</v>
      </c>
      <c r="I13" s="47" t="s">
        <v>36</v>
      </c>
      <c r="J13" s="48" t="s">
        <v>37</v>
      </c>
      <c r="K13" s="48" t="s">
        <v>38</v>
      </c>
      <c r="L13" s="48" t="s">
        <v>39</v>
      </c>
      <c r="M13" s="48" t="s">
        <v>39</v>
      </c>
    </row>
    <row r="14" spans="1:13" ht="14.25" customHeight="1" x14ac:dyDescent="0.25">
      <c r="A14" s="50" t="s">
        <v>40</v>
      </c>
      <c r="B14" s="51"/>
      <c r="C14" s="51"/>
      <c r="D14" s="51"/>
      <c r="E14" s="51"/>
      <c r="F14" s="51"/>
      <c r="G14" s="51"/>
      <c r="H14" s="51"/>
      <c r="I14" s="51"/>
      <c r="J14" s="52">
        <f t="shared" ref="J14:J45" si="0">SUMPRODUCT(B14:I14,$B$11:$I$11)</f>
        <v>0</v>
      </c>
      <c r="K14" s="53"/>
      <c r="L14" s="53"/>
      <c r="M14" s="53"/>
    </row>
    <row r="15" spans="1:13" ht="14.25" customHeight="1" x14ac:dyDescent="0.25">
      <c r="A15" s="50" t="s">
        <v>41</v>
      </c>
      <c r="B15" s="51"/>
      <c r="C15" s="51"/>
      <c r="D15" s="51"/>
      <c r="E15" s="51"/>
      <c r="F15" s="51"/>
      <c r="G15" s="51"/>
      <c r="H15" s="51"/>
      <c r="I15" s="51"/>
      <c r="J15" s="52">
        <f t="shared" si="0"/>
        <v>0</v>
      </c>
      <c r="K15" s="54">
        <f>J15+J14</f>
        <v>0</v>
      </c>
      <c r="L15" s="55"/>
      <c r="M15" s="55"/>
    </row>
    <row r="16" spans="1:13" ht="14.25" customHeight="1" x14ac:dyDescent="0.25">
      <c r="A16" s="50" t="s">
        <v>42</v>
      </c>
      <c r="B16" s="51"/>
      <c r="C16" s="51"/>
      <c r="D16" s="51"/>
      <c r="E16" s="51"/>
      <c r="F16" s="51"/>
      <c r="G16" s="51"/>
      <c r="H16" s="51"/>
      <c r="I16" s="51"/>
      <c r="J16" s="52">
        <f t="shared" si="0"/>
        <v>0</v>
      </c>
      <c r="K16" s="53"/>
      <c r="L16" s="54"/>
      <c r="M16" s="54"/>
    </row>
    <row r="17" spans="1:13" ht="14.25" customHeight="1" x14ac:dyDescent="0.25">
      <c r="A17" s="50" t="s">
        <v>43</v>
      </c>
      <c r="B17" s="51"/>
      <c r="C17" s="51"/>
      <c r="D17" s="51"/>
      <c r="E17" s="51"/>
      <c r="F17" s="51"/>
      <c r="G17" s="51"/>
      <c r="H17" s="51"/>
      <c r="I17" s="51"/>
      <c r="J17" s="52">
        <f t="shared" si="0"/>
        <v>0</v>
      </c>
      <c r="K17" s="54">
        <f>J17+J16</f>
        <v>0</v>
      </c>
      <c r="L17" s="54">
        <f>SUM(J14:J17)</f>
        <v>0</v>
      </c>
      <c r="M17" s="54">
        <f>SUM(C14:I17)</f>
        <v>0</v>
      </c>
    </row>
    <row r="18" spans="1:13" ht="14.25" customHeight="1" x14ac:dyDescent="0.25">
      <c r="A18" s="50" t="s">
        <v>44</v>
      </c>
      <c r="B18" s="51"/>
      <c r="C18" s="51"/>
      <c r="D18" s="51"/>
      <c r="E18" s="51"/>
      <c r="F18" s="51"/>
      <c r="G18" s="51"/>
      <c r="H18" s="51"/>
      <c r="I18" s="51"/>
      <c r="J18" s="52">
        <f t="shared" si="0"/>
        <v>0</v>
      </c>
      <c r="K18" s="53"/>
      <c r="L18" s="53"/>
      <c r="M18" s="53"/>
    </row>
    <row r="19" spans="1:13" ht="14.25" customHeight="1" x14ac:dyDescent="0.25">
      <c r="A19" s="50" t="s">
        <v>45</v>
      </c>
      <c r="B19" s="51"/>
      <c r="C19" s="51"/>
      <c r="D19" s="51"/>
      <c r="E19" s="51"/>
      <c r="F19" s="51"/>
      <c r="G19" s="51"/>
      <c r="H19" s="51"/>
      <c r="I19" s="51"/>
      <c r="J19" s="52">
        <f t="shared" si="0"/>
        <v>0</v>
      </c>
      <c r="K19" s="54">
        <f>J19+J18</f>
        <v>0</v>
      </c>
      <c r="L19" s="55"/>
      <c r="M19" s="55"/>
    </row>
    <row r="20" spans="1:13" ht="14.25" customHeight="1" x14ac:dyDescent="0.25">
      <c r="A20" s="50" t="s">
        <v>46</v>
      </c>
      <c r="B20" s="51"/>
      <c r="C20" s="51"/>
      <c r="D20" s="51"/>
      <c r="E20" s="51"/>
      <c r="F20" s="51"/>
      <c r="G20" s="51"/>
      <c r="H20" s="51"/>
      <c r="I20" s="51"/>
      <c r="J20" s="52">
        <f t="shared" si="0"/>
        <v>0</v>
      </c>
      <c r="K20" s="53"/>
      <c r="L20" s="54"/>
      <c r="M20" s="54"/>
    </row>
    <row r="21" spans="1:13" ht="14.25" customHeight="1" x14ac:dyDescent="0.25">
      <c r="A21" s="50" t="s">
        <v>47</v>
      </c>
      <c r="B21" s="51"/>
      <c r="C21" s="51"/>
      <c r="D21" s="51"/>
      <c r="E21" s="51"/>
      <c r="F21" s="51"/>
      <c r="G21" s="51"/>
      <c r="H21" s="51"/>
      <c r="I21" s="51"/>
      <c r="J21" s="52">
        <f t="shared" si="0"/>
        <v>0</v>
      </c>
      <c r="K21" s="54">
        <f>J21+J20</f>
        <v>0</v>
      </c>
      <c r="L21" s="54">
        <f>SUM(J18:J21)</f>
        <v>0</v>
      </c>
      <c r="M21" s="54">
        <f>SUM(C18:I21)</f>
        <v>0</v>
      </c>
    </row>
    <row r="22" spans="1:13" ht="14.25" customHeight="1" x14ac:dyDescent="0.25">
      <c r="A22" s="50" t="s">
        <v>48</v>
      </c>
      <c r="B22" s="56">
        <v>0</v>
      </c>
      <c r="C22" s="56">
        <v>0</v>
      </c>
      <c r="D22" s="56">
        <v>7</v>
      </c>
      <c r="E22" s="56">
        <v>0</v>
      </c>
      <c r="F22" s="56">
        <v>0</v>
      </c>
      <c r="G22" s="56">
        <v>0</v>
      </c>
      <c r="H22" s="56">
        <v>0</v>
      </c>
      <c r="I22" s="56">
        <v>0</v>
      </c>
      <c r="J22" s="52">
        <f t="shared" si="0"/>
        <v>7</v>
      </c>
      <c r="K22" s="53"/>
      <c r="L22" s="53"/>
      <c r="M22" s="53"/>
    </row>
    <row r="23" spans="1:13" ht="14.25" customHeight="1" x14ac:dyDescent="0.25">
      <c r="A23" s="50" t="s">
        <v>49</v>
      </c>
      <c r="B23" s="56">
        <v>0</v>
      </c>
      <c r="C23" s="56">
        <v>0</v>
      </c>
      <c r="D23" s="56">
        <v>15</v>
      </c>
      <c r="E23" s="56">
        <v>0</v>
      </c>
      <c r="F23" s="56">
        <v>0</v>
      </c>
      <c r="G23" s="56">
        <v>0</v>
      </c>
      <c r="H23" s="56">
        <v>0</v>
      </c>
      <c r="I23" s="56">
        <v>0</v>
      </c>
      <c r="J23" s="52">
        <f t="shared" si="0"/>
        <v>15</v>
      </c>
      <c r="K23" s="54">
        <f>J23+J22</f>
        <v>22</v>
      </c>
      <c r="L23" s="55"/>
      <c r="M23" s="55"/>
    </row>
    <row r="24" spans="1:13" ht="14.25" customHeight="1" x14ac:dyDescent="0.25">
      <c r="A24" s="50" t="s">
        <v>50</v>
      </c>
      <c r="B24" s="56">
        <v>1</v>
      </c>
      <c r="C24" s="56">
        <v>0</v>
      </c>
      <c r="D24" s="56">
        <v>16</v>
      </c>
      <c r="E24" s="56">
        <v>0</v>
      </c>
      <c r="F24" s="56">
        <v>0</v>
      </c>
      <c r="G24" s="56">
        <v>0</v>
      </c>
      <c r="H24" s="56">
        <v>0</v>
      </c>
      <c r="I24" s="56">
        <v>0</v>
      </c>
      <c r="J24" s="52">
        <f t="shared" si="0"/>
        <v>16.3</v>
      </c>
      <c r="K24" s="53"/>
      <c r="L24" s="54"/>
      <c r="M24" s="54"/>
    </row>
    <row r="25" spans="1:13" ht="14.25" customHeight="1" x14ac:dyDescent="0.25">
      <c r="A25" s="50" t="s">
        <v>51</v>
      </c>
      <c r="B25" s="56">
        <v>0</v>
      </c>
      <c r="C25" s="56">
        <v>0</v>
      </c>
      <c r="D25" s="56">
        <v>7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2">
        <f t="shared" si="0"/>
        <v>7</v>
      </c>
      <c r="K25" s="54">
        <f>J25+J24</f>
        <v>23.3</v>
      </c>
      <c r="L25" s="54">
        <f>SUM(J22:J25)</f>
        <v>45.3</v>
      </c>
      <c r="M25" s="54">
        <f>SUM(C22:I25)</f>
        <v>45</v>
      </c>
    </row>
    <row r="26" spans="1:13" ht="14.25" customHeight="1" x14ac:dyDescent="0.25">
      <c r="A26" s="50" t="s">
        <v>52</v>
      </c>
      <c r="B26" s="56">
        <v>0</v>
      </c>
      <c r="C26" s="56">
        <v>0</v>
      </c>
      <c r="D26" s="56">
        <v>7</v>
      </c>
      <c r="E26" s="56">
        <v>0</v>
      </c>
      <c r="F26" s="56">
        <v>0</v>
      </c>
      <c r="G26" s="56">
        <v>0</v>
      </c>
      <c r="H26" s="56">
        <v>0</v>
      </c>
      <c r="I26" s="56">
        <v>0</v>
      </c>
      <c r="J26" s="52">
        <f t="shared" si="0"/>
        <v>7</v>
      </c>
      <c r="K26" s="53"/>
      <c r="L26" s="53"/>
      <c r="M26" s="53"/>
    </row>
    <row r="27" spans="1:13" ht="14.25" customHeight="1" x14ac:dyDescent="0.25">
      <c r="A27" s="50" t="s">
        <v>53</v>
      </c>
      <c r="B27" s="56">
        <v>0</v>
      </c>
      <c r="C27" s="56">
        <v>1</v>
      </c>
      <c r="D27" s="56">
        <v>11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52">
        <f t="shared" si="0"/>
        <v>11.5</v>
      </c>
      <c r="K27" s="54">
        <f>J27+J26</f>
        <v>18.5</v>
      </c>
      <c r="L27" s="55"/>
      <c r="M27" s="55"/>
    </row>
    <row r="28" spans="1:13" ht="14.25" customHeight="1" x14ac:dyDescent="0.25">
      <c r="A28" s="50" t="s">
        <v>54</v>
      </c>
      <c r="B28" s="56">
        <v>0</v>
      </c>
      <c r="C28" s="56">
        <v>0</v>
      </c>
      <c r="D28" s="56">
        <v>6</v>
      </c>
      <c r="E28" s="56">
        <v>0</v>
      </c>
      <c r="F28" s="56">
        <v>0</v>
      </c>
      <c r="G28" s="56">
        <v>0</v>
      </c>
      <c r="H28" s="56">
        <v>0</v>
      </c>
      <c r="I28" s="56">
        <v>0</v>
      </c>
      <c r="J28" s="52">
        <f t="shared" si="0"/>
        <v>6</v>
      </c>
      <c r="K28" s="53"/>
      <c r="L28" s="54"/>
      <c r="M28" s="54"/>
    </row>
    <row r="29" spans="1:13" ht="14.25" customHeight="1" x14ac:dyDescent="0.25">
      <c r="A29" s="50" t="s">
        <v>55</v>
      </c>
      <c r="B29" s="56">
        <v>0</v>
      </c>
      <c r="C29" s="56">
        <v>0</v>
      </c>
      <c r="D29" s="56">
        <v>7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52">
        <f t="shared" si="0"/>
        <v>7</v>
      </c>
      <c r="K29" s="54">
        <f>J29+J28</f>
        <v>13</v>
      </c>
      <c r="L29" s="54">
        <f>SUM(J26:J29)</f>
        <v>31.5</v>
      </c>
      <c r="M29" s="54">
        <f>SUM(C26:I29)</f>
        <v>32</v>
      </c>
    </row>
    <row r="30" spans="1:13" ht="14.25" customHeight="1" x14ac:dyDescent="0.25">
      <c r="A30" s="50" t="s">
        <v>56</v>
      </c>
      <c r="B30" s="56">
        <v>0</v>
      </c>
      <c r="C30" s="56">
        <v>1</v>
      </c>
      <c r="D30" s="56">
        <v>13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2">
        <f t="shared" si="0"/>
        <v>13.5</v>
      </c>
      <c r="K30" s="53"/>
      <c r="L30" s="53"/>
      <c r="M30" s="53"/>
    </row>
    <row r="31" spans="1:13" ht="14.25" customHeight="1" x14ac:dyDescent="0.25">
      <c r="A31" s="50" t="s">
        <v>57</v>
      </c>
      <c r="B31" s="56">
        <v>0</v>
      </c>
      <c r="C31" s="56">
        <v>0</v>
      </c>
      <c r="D31" s="56">
        <v>12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2">
        <f t="shared" si="0"/>
        <v>12</v>
      </c>
      <c r="K31" s="54">
        <f>J31+J30</f>
        <v>25.5</v>
      </c>
      <c r="L31" s="55"/>
      <c r="M31" s="55"/>
    </row>
    <row r="32" spans="1:13" ht="14.25" customHeight="1" x14ac:dyDescent="0.25">
      <c r="A32" s="50" t="s">
        <v>58</v>
      </c>
      <c r="B32" s="56">
        <v>0</v>
      </c>
      <c r="C32" s="56">
        <v>0</v>
      </c>
      <c r="D32" s="56">
        <v>13</v>
      </c>
      <c r="E32" s="56">
        <v>0</v>
      </c>
      <c r="F32" s="56">
        <v>0</v>
      </c>
      <c r="G32" s="56">
        <v>1</v>
      </c>
      <c r="H32" s="56">
        <v>0</v>
      </c>
      <c r="I32" s="56">
        <v>0</v>
      </c>
      <c r="J32" s="52">
        <f t="shared" si="0"/>
        <v>15</v>
      </c>
      <c r="K32" s="53"/>
      <c r="L32" s="54"/>
      <c r="M32" s="54"/>
    </row>
    <row r="33" spans="1:13" ht="14.25" customHeight="1" x14ac:dyDescent="0.25">
      <c r="A33" s="50" t="s">
        <v>59</v>
      </c>
      <c r="B33" s="56">
        <v>0</v>
      </c>
      <c r="C33" s="56">
        <v>0</v>
      </c>
      <c r="D33" s="56">
        <v>9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2">
        <f t="shared" si="0"/>
        <v>9</v>
      </c>
      <c r="K33" s="54">
        <f>J33+J32</f>
        <v>24</v>
      </c>
      <c r="L33" s="54">
        <f>SUM(J30:J33)</f>
        <v>49.5</v>
      </c>
      <c r="M33" s="54">
        <f>SUM(C30:I33)</f>
        <v>49</v>
      </c>
    </row>
    <row r="34" spans="1:13" ht="14.25" customHeight="1" x14ac:dyDescent="0.25">
      <c r="A34" s="50" t="s">
        <v>60</v>
      </c>
      <c r="B34" s="56">
        <v>0</v>
      </c>
      <c r="C34" s="56">
        <v>0</v>
      </c>
      <c r="D34" s="56">
        <v>17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2">
        <f t="shared" si="0"/>
        <v>17</v>
      </c>
      <c r="K34" s="53"/>
      <c r="L34" s="53"/>
      <c r="M34" s="53"/>
    </row>
    <row r="35" spans="1:13" ht="14.25" customHeight="1" x14ac:dyDescent="0.25">
      <c r="A35" s="50" t="s">
        <v>61</v>
      </c>
      <c r="B35" s="56">
        <v>1</v>
      </c>
      <c r="C35" s="56">
        <v>0</v>
      </c>
      <c r="D35" s="56">
        <v>16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2">
        <f t="shared" si="0"/>
        <v>16.3</v>
      </c>
      <c r="K35" s="54">
        <f>J35+J34</f>
        <v>33.299999999999997</v>
      </c>
      <c r="L35" s="55"/>
      <c r="M35" s="55"/>
    </row>
    <row r="36" spans="1:13" ht="14.25" customHeight="1" x14ac:dyDescent="0.25">
      <c r="A36" s="50" t="s">
        <v>62</v>
      </c>
      <c r="B36" s="56">
        <v>2</v>
      </c>
      <c r="C36" s="56">
        <v>0</v>
      </c>
      <c r="D36" s="56">
        <v>16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2">
        <f t="shared" si="0"/>
        <v>16.600000000000001</v>
      </c>
      <c r="K36" s="53"/>
      <c r="L36" s="54"/>
      <c r="M36" s="54"/>
    </row>
    <row r="37" spans="1:13" ht="14.25" customHeight="1" x14ac:dyDescent="0.25">
      <c r="A37" s="50" t="s">
        <v>63</v>
      </c>
      <c r="B37" s="56">
        <v>0</v>
      </c>
      <c r="C37" s="56">
        <v>0</v>
      </c>
      <c r="D37" s="56">
        <v>10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2">
        <f t="shared" si="0"/>
        <v>10</v>
      </c>
      <c r="K37" s="54">
        <f>J37+J36</f>
        <v>26.6</v>
      </c>
      <c r="L37" s="54">
        <f>SUM(J34:J37)</f>
        <v>59.9</v>
      </c>
      <c r="M37" s="54">
        <f>SUM(C34:I37)</f>
        <v>59</v>
      </c>
    </row>
    <row r="38" spans="1:13" ht="14.25" customHeight="1" x14ac:dyDescent="0.25">
      <c r="A38" s="50" t="s">
        <v>64</v>
      </c>
      <c r="B38" s="56">
        <v>0</v>
      </c>
      <c r="C38" s="56">
        <v>1</v>
      </c>
      <c r="D38" s="56">
        <v>14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2">
        <f t="shared" si="0"/>
        <v>14.5</v>
      </c>
      <c r="K38" s="53"/>
      <c r="L38" s="53"/>
      <c r="M38" s="53"/>
    </row>
    <row r="39" spans="1:13" ht="14.25" customHeight="1" x14ac:dyDescent="0.25">
      <c r="A39" s="50" t="s">
        <v>65</v>
      </c>
      <c r="B39" s="56">
        <v>0</v>
      </c>
      <c r="C39" s="56">
        <v>0</v>
      </c>
      <c r="D39" s="56">
        <v>6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2">
        <f t="shared" si="0"/>
        <v>6</v>
      </c>
      <c r="K39" s="54">
        <f>J39+J38</f>
        <v>20.5</v>
      </c>
      <c r="L39" s="55"/>
      <c r="M39" s="55"/>
    </row>
    <row r="40" spans="1:13" ht="14.25" customHeight="1" x14ac:dyDescent="0.25">
      <c r="A40" s="50" t="s">
        <v>66</v>
      </c>
      <c r="B40" s="56">
        <v>1</v>
      </c>
      <c r="C40" s="56">
        <v>0</v>
      </c>
      <c r="D40" s="56">
        <v>14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2">
        <f t="shared" si="0"/>
        <v>14.3</v>
      </c>
      <c r="K40" s="53"/>
      <c r="L40" s="54"/>
      <c r="M40" s="54"/>
    </row>
    <row r="41" spans="1:13" ht="14.25" customHeight="1" x14ac:dyDescent="0.25">
      <c r="A41" s="50" t="s">
        <v>67</v>
      </c>
      <c r="B41" s="56">
        <v>0</v>
      </c>
      <c r="C41" s="56">
        <v>0</v>
      </c>
      <c r="D41" s="56">
        <v>14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2">
        <f t="shared" si="0"/>
        <v>14</v>
      </c>
      <c r="K41" s="54">
        <f>J41+J40</f>
        <v>28.3</v>
      </c>
      <c r="L41" s="54">
        <f>SUM(J38:J41)</f>
        <v>48.8</v>
      </c>
      <c r="M41" s="54">
        <f>SUM(C38:I41)</f>
        <v>49</v>
      </c>
    </row>
    <row r="42" spans="1:13" ht="14.25" customHeight="1" x14ac:dyDescent="0.25">
      <c r="A42" s="50" t="s">
        <v>68</v>
      </c>
      <c r="B42" s="56">
        <v>0</v>
      </c>
      <c r="C42" s="56">
        <v>0</v>
      </c>
      <c r="D42" s="56">
        <v>14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2">
        <f t="shared" si="0"/>
        <v>14</v>
      </c>
      <c r="K42" s="53"/>
      <c r="L42" s="53"/>
      <c r="M42" s="53"/>
    </row>
    <row r="43" spans="1:13" ht="14.25" customHeight="1" x14ac:dyDescent="0.25">
      <c r="A43" s="50" t="s">
        <v>69</v>
      </c>
      <c r="B43" s="56">
        <v>1</v>
      </c>
      <c r="C43" s="56">
        <v>0</v>
      </c>
      <c r="D43" s="56">
        <v>11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2">
        <f t="shared" si="0"/>
        <v>11.3</v>
      </c>
      <c r="K43" s="54">
        <f>J43+J42</f>
        <v>25.3</v>
      </c>
      <c r="L43" s="55"/>
      <c r="M43" s="55"/>
    </row>
    <row r="44" spans="1:13" ht="14.25" customHeight="1" x14ac:dyDescent="0.25">
      <c r="A44" s="50" t="s">
        <v>70</v>
      </c>
      <c r="B44" s="56">
        <v>2</v>
      </c>
      <c r="C44" s="56">
        <v>0</v>
      </c>
      <c r="D44" s="56">
        <v>10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2">
        <f t="shared" si="0"/>
        <v>10.6</v>
      </c>
      <c r="K44" s="53"/>
      <c r="L44" s="54"/>
      <c r="M44" s="54"/>
    </row>
    <row r="45" spans="1:13" ht="14.25" customHeight="1" x14ac:dyDescent="0.25">
      <c r="A45" s="50" t="s">
        <v>71</v>
      </c>
      <c r="B45" s="56">
        <v>0</v>
      </c>
      <c r="C45" s="56">
        <v>0</v>
      </c>
      <c r="D45" s="56">
        <v>9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2">
        <f t="shared" si="0"/>
        <v>9</v>
      </c>
      <c r="K45" s="54">
        <f>J45+J44</f>
        <v>19.600000000000001</v>
      </c>
      <c r="L45" s="54">
        <f>SUM(J42:J45)</f>
        <v>44.9</v>
      </c>
      <c r="M45" s="54">
        <f>SUM(C42:I45)</f>
        <v>44</v>
      </c>
    </row>
    <row r="46" spans="1:13" ht="14.25" customHeight="1" x14ac:dyDescent="0.25">
      <c r="A46" s="50" t="s">
        <v>72</v>
      </c>
      <c r="B46" s="56">
        <v>0</v>
      </c>
      <c r="C46" s="56">
        <v>0</v>
      </c>
      <c r="D46" s="56">
        <v>11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2">
        <f t="shared" ref="J46:J77" si="1">SUMPRODUCT(B46:I46,$B$11:$I$11)</f>
        <v>11</v>
      </c>
      <c r="K46" s="53"/>
      <c r="L46" s="53"/>
      <c r="M46" s="53"/>
    </row>
    <row r="47" spans="1:13" ht="14.25" customHeight="1" x14ac:dyDescent="0.25">
      <c r="A47" s="50" t="s">
        <v>73</v>
      </c>
      <c r="B47" s="56">
        <v>0</v>
      </c>
      <c r="C47" s="56">
        <v>0</v>
      </c>
      <c r="D47" s="56">
        <v>7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2">
        <f t="shared" si="1"/>
        <v>7</v>
      </c>
      <c r="K47" s="54">
        <f>J47+J46</f>
        <v>18</v>
      </c>
      <c r="L47" s="55"/>
      <c r="M47" s="55"/>
    </row>
    <row r="48" spans="1:13" ht="14.25" customHeight="1" x14ac:dyDescent="0.25">
      <c r="A48" s="50" t="s">
        <v>74</v>
      </c>
      <c r="B48" s="56">
        <v>3</v>
      </c>
      <c r="C48" s="56">
        <v>0</v>
      </c>
      <c r="D48" s="56">
        <v>19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2">
        <f t="shared" si="1"/>
        <v>19.899999999999999</v>
      </c>
      <c r="K48" s="53"/>
      <c r="L48" s="54"/>
      <c r="M48" s="54"/>
    </row>
    <row r="49" spans="1:13" ht="14.25" customHeight="1" x14ac:dyDescent="0.25">
      <c r="A49" s="50" t="s">
        <v>75</v>
      </c>
      <c r="B49" s="56">
        <v>1</v>
      </c>
      <c r="C49" s="56">
        <v>0</v>
      </c>
      <c r="D49" s="56">
        <v>10</v>
      </c>
      <c r="E49" s="56">
        <v>0</v>
      </c>
      <c r="F49" s="56">
        <v>0</v>
      </c>
      <c r="G49" s="56">
        <v>0</v>
      </c>
      <c r="H49" s="56">
        <v>0</v>
      </c>
      <c r="I49" s="56">
        <v>0</v>
      </c>
      <c r="J49" s="52">
        <f t="shared" si="1"/>
        <v>10.3</v>
      </c>
      <c r="K49" s="54">
        <f>J49+J48</f>
        <v>30.2</v>
      </c>
      <c r="L49" s="54">
        <f>SUM(J46:J49)</f>
        <v>48.2</v>
      </c>
      <c r="M49" s="54">
        <f>SUM(C46:I49)</f>
        <v>47</v>
      </c>
    </row>
    <row r="50" spans="1:13" ht="14.25" customHeight="1" x14ac:dyDescent="0.25">
      <c r="A50" s="50" t="s">
        <v>76</v>
      </c>
      <c r="B50" s="56">
        <v>2</v>
      </c>
      <c r="C50" s="56">
        <v>0</v>
      </c>
      <c r="D50" s="56">
        <v>9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2">
        <f t="shared" si="1"/>
        <v>9.6</v>
      </c>
      <c r="K50" s="53"/>
      <c r="L50" s="53"/>
      <c r="M50" s="53"/>
    </row>
    <row r="51" spans="1:13" ht="14.25" customHeight="1" x14ac:dyDescent="0.25">
      <c r="A51" s="50" t="s">
        <v>77</v>
      </c>
      <c r="B51" s="56">
        <v>0</v>
      </c>
      <c r="C51" s="56">
        <v>0</v>
      </c>
      <c r="D51" s="56">
        <v>9</v>
      </c>
      <c r="E51" s="56">
        <v>0</v>
      </c>
      <c r="F51" s="56">
        <v>0</v>
      </c>
      <c r="G51" s="56">
        <v>0</v>
      </c>
      <c r="H51" s="56">
        <v>0</v>
      </c>
      <c r="I51" s="56">
        <v>0</v>
      </c>
      <c r="J51" s="52">
        <f t="shared" si="1"/>
        <v>9</v>
      </c>
      <c r="K51" s="54">
        <f>J51+J50</f>
        <v>18.600000000000001</v>
      </c>
      <c r="L51" s="55"/>
      <c r="M51" s="55"/>
    </row>
    <row r="52" spans="1:13" ht="14.25" customHeight="1" x14ac:dyDescent="0.25">
      <c r="A52" s="50" t="s">
        <v>78</v>
      </c>
      <c r="B52" s="56">
        <v>3</v>
      </c>
      <c r="C52" s="56">
        <v>0</v>
      </c>
      <c r="D52" s="56">
        <v>17</v>
      </c>
      <c r="E52" s="56">
        <v>0</v>
      </c>
      <c r="F52" s="56">
        <v>0</v>
      </c>
      <c r="G52" s="56">
        <v>0</v>
      </c>
      <c r="H52" s="56">
        <v>0</v>
      </c>
      <c r="I52" s="56">
        <v>0</v>
      </c>
      <c r="J52" s="52">
        <f t="shared" si="1"/>
        <v>17.899999999999999</v>
      </c>
      <c r="K52" s="53"/>
      <c r="L52" s="54"/>
      <c r="M52" s="54"/>
    </row>
    <row r="53" spans="1:13" ht="14.25" customHeight="1" x14ac:dyDescent="0.25">
      <c r="A53" s="50" t="s">
        <v>79</v>
      </c>
      <c r="B53" s="56">
        <v>1</v>
      </c>
      <c r="C53" s="56">
        <v>0</v>
      </c>
      <c r="D53" s="56">
        <v>17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2">
        <f t="shared" si="1"/>
        <v>17.3</v>
      </c>
      <c r="K53" s="54">
        <f>J53+J52</f>
        <v>35.200000000000003</v>
      </c>
      <c r="L53" s="54">
        <f>SUM(J50:J53)</f>
        <v>53.8</v>
      </c>
      <c r="M53" s="54">
        <f>SUM(C50:I53)</f>
        <v>52</v>
      </c>
    </row>
    <row r="54" spans="1:13" ht="14.25" customHeight="1" x14ac:dyDescent="0.25">
      <c r="A54" s="50" t="s">
        <v>80</v>
      </c>
      <c r="B54" s="56">
        <v>0</v>
      </c>
      <c r="C54" s="56">
        <v>0</v>
      </c>
      <c r="D54" s="56">
        <v>24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2">
        <f t="shared" si="1"/>
        <v>24</v>
      </c>
      <c r="K54" s="53"/>
      <c r="L54" s="53"/>
      <c r="M54" s="53"/>
    </row>
    <row r="55" spans="1:13" ht="14.25" customHeight="1" x14ac:dyDescent="0.25">
      <c r="A55" s="50" t="s">
        <v>81</v>
      </c>
      <c r="B55" s="56">
        <v>2</v>
      </c>
      <c r="C55" s="56">
        <v>1</v>
      </c>
      <c r="D55" s="56">
        <v>18</v>
      </c>
      <c r="E55" s="56">
        <v>0</v>
      </c>
      <c r="F55" s="56">
        <v>0</v>
      </c>
      <c r="G55" s="56">
        <v>0</v>
      </c>
      <c r="H55" s="56">
        <v>0</v>
      </c>
      <c r="I55" s="56">
        <v>0</v>
      </c>
      <c r="J55" s="52">
        <f t="shared" si="1"/>
        <v>19.100000000000001</v>
      </c>
      <c r="K55" s="54">
        <f>J55+J54</f>
        <v>43.1</v>
      </c>
      <c r="L55" s="55"/>
      <c r="M55" s="55"/>
    </row>
    <row r="56" spans="1:13" ht="14.25" customHeight="1" x14ac:dyDescent="0.25">
      <c r="A56" s="50" t="s">
        <v>82</v>
      </c>
      <c r="B56" s="56">
        <v>1</v>
      </c>
      <c r="C56" s="56">
        <v>0</v>
      </c>
      <c r="D56" s="56">
        <v>14</v>
      </c>
      <c r="E56" s="56">
        <v>0</v>
      </c>
      <c r="F56" s="56">
        <v>0</v>
      </c>
      <c r="G56" s="56">
        <v>0</v>
      </c>
      <c r="H56" s="56">
        <v>0</v>
      </c>
      <c r="I56" s="56">
        <v>0</v>
      </c>
      <c r="J56" s="52">
        <f t="shared" si="1"/>
        <v>14.3</v>
      </c>
      <c r="K56" s="53"/>
      <c r="L56" s="54"/>
      <c r="M56" s="54"/>
    </row>
    <row r="57" spans="1:13" ht="14.25" customHeight="1" x14ac:dyDescent="0.25">
      <c r="A57" s="50" t="s">
        <v>83</v>
      </c>
      <c r="B57" s="56">
        <v>3</v>
      </c>
      <c r="C57" s="56">
        <v>0</v>
      </c>
      <c r="D57" s="56">
        <v>16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2">
        <f t="shared" si="1"/>
        <v>16.899999999999999</v>
      </c>
      <c r="K57" s="57">
        <f>J57+J56</f>
        <v>31.2</v>
      </c>
      <c r="L57" s="54">
        <f>SUM(J54:J57)</f>
        <v>74.300000000000011</v>
      </c>
      <c r="M57" s="54">
        <f>SUM(C54:I57)</f>
        <v>73</v>
      </c>
    </row>
    <row r="58" spans="1:13" ht="14.25" customHeight="1" x14ac:dyDescent="0.25">
      <c r="A58" s="50" t="s">
        <v>84</v>
      </c>
      <c r="B58" s="56">
        <v>3</v>
      </c>
      <c r="C58" s="56">
        <v>0</v>
      </c>
      <c r="D58" s="56">
        <v>27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2">
        <f t="shared" si="1"/>
        <v>27.9</v>
      </c>
      <c r="K58" s="53"/>
      <c r="L58" s="53"/>
      <c r="M58" s="53"/>
    </row>
    <row r="59" spans="1:13" ht="14.25" customHeight="1" x14ac:dyDescent="0.25">
      <c r="A59" s="50" t="s">
        <v>85</v>
      </c>
      <c r="B59" s="56">
        <v>0</v>
      </c>
      <c r="C59" s="56">
        <v>1</v>
      </c>
      <c r="D59" s="56">
        <v>17</v>
      </c>
      <c r="E59" s="56">
        <v>0</v>
      </c>
      <c r="F59" s="56">
        <v>0</v>
      </c>
      <c r="G59" s="56">
        <v>0</v>
      </c>
      <c r="H59" s="56">
        <v>0</v>
      </c>
      <c r="I59" s="56">
        <v>0</v>
      </c>
      <c r="J59" s="52">
        <f t="shared" si="1"/>
        <v>17.5</v>
      </c>
      <c r="K59" s="54">
        <f>J59+J58</f>
        <v>45.4</v>
      </c>
      <c r="L59" s="55"/>
      <c r="M59" s="55"/>
    </row>
    <row r="60" spans="1:13" ht="14.25" customHeight="1" x14ac:dyDescent="0.25">
      <c r="A60" s="50" t="s">
        <v>86</v>
      </c>
      <c r="B60" s="56">
        <v>0</v>
      </c>
      <c r="C60" s="56">
        <v>0</v>
      </c>
      <c r="D60" s="56">
        <v>21</v>
      </c>
      <c r="E60" s="56">
        <v>0</v>
      </c>
      <c r="F60" s="56">
        <v>0</v>
      </c>
      <c r="G60" s="56">
        <v>0</v>
      </c>
      <c r="H60" s="56">
        <v>0</v>
      </c>
      <c r="I60" s="56">
        <v>0</v>
      </c>
      <c r="J60" s="52">
        <f t="shared" si="1"/>
        <v>21</v>
      </c>
      <c r="K60" s="53"/>
      <c r="L60" s="54"/>
      <c r="M60" s="54"/>
    </row>
    <row r="61" spans="1:13" ht="14.25" customHeight="1" x14ac:dyDescent="0.25">
      <c r="A61" s="50" t="s">
        <v>87</v>
      </c>
      <c r="B61" s="56">
        <v>0</v>
      </c>
      <c r="C61" s="56">
        <v>0</v>
      </c>
      <c r="D61" s="56">
        <v>10</v>
      </c>
      <c r="E61" s="56">
        <v>0</v>
      </c>
      <c r="F61" s="56">
        <v>0</v>
      </c>
      <c r="G61" s="56">
        <v>0</v>
      </c>
      <c r="H61" s="56">
        <v>0</v>
      </c>
      <c r="I61" s="56">
        <v>0</v>
      </c>
      <c r="J61" s="52">
        <f t="shared" si="1"/>
        <v>10</v>
      </c>
      <c r="K61" s="54">
        <f>J61+J60</f>
        <v>31</v>
      </c>
      <c r="L61" s="54">
        <f>SUM(J58:J61)</f>
        <v>76.400000000000006</v>
      </c>
      <c r="M61" s="54">
        <f>SUM(C58:I61)</f>
        <v>76</v>
      </c>
    </row>
    <row r="62" spans="1:13" ht="14.25" customHeight="1" x14ac:dyDescent="0.25">
      <c r="A62" s="50" t="s">
        <v>88</v>
      </c>
      <c r="B62" s="56">
        <v>1</v>
      </c>
      <c r="C62" s="56">
        <v>0</v>
      </c>
      <c r="D62" s="56">
        <v>23</v>
      </c>
      <c r="E62" s="56">
        <v>0</v>
      </c>
      <c r="F62" s="56">
        <v>0</v>
      </c>
      <c r="G62" s="56">
        <v>0</v>
      </c>
      <c r="H62" s="56">
        <v>0</v>
      </c>
      <c r="I62" s="56">
        <v>0</v>
      </c>
      <c r="J62" s="52">
        <f t="shared" si="1"/>
        <v>23.3</v>
      </c>
      <c r="K62" s="53"/>
      <c r="L62" s="53"/>
      <c r="M62" s="53"/>
    </row>
    <row r="63" spans="1:13" ht="14.25" customHeight="1" x14ac:dyDescent="0.25">
      <c r="A63" s="50" t="s">
        <v>89</v>
      </c>
      <c r="B63" s="56">
        <v>0</v>
      </c>
      <c r="C63" s="56">
        <v>0</v>
      </c>
      <c r="D63" s="56">
        <v>7</v>
      </c>
      <c r="E63" s="56">
        <v>0</v>
      </c>
      <c r="F63" s="56">
        <v>0</v>
      </c>
      <c r="G63" s="56">
        <v>0</v>
      </c>
      <c r="H63" s="56">
        <v>0</v>
      </c>
      <c r="I63" s="56">
        <v>0</v>
      </c>
      <c r="J63" s="52">
        <f t="shared" si="1"/>
        <v>7</v>
      </c>
      <c r="K63" s="54">
        <f>J63+J62</f>
        <v>30.3</v>
      </c>
      <c r="L63" s="55"/>
      <c r="M63" s="55"/>
    </row>
    <row r="64" spans="1:13" ht="14.25" customHeight="1" x14ac:dyDescent="0.25">
      <c r="A64" s="50" t="s">
        <v>90</v>
      </c>
      <c r="B64" s="56">
        <v>1</v>
      </c>
      <c r="C64" s="56">
        <v>0</v>
      </c>
      <c r="D64" s="56">
        <v>14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2">
        <f t="shared" si="1"/>
        <v>14.3</v>
      </c>
      <c r="K64" s="53"/>
      <c r="L64" s="54"/>
      <c r="M64" s="54"/>
    </row>
    <row r="65" spans="1:13" ht="14.25" customHeight="1" x14ac:dyDescent="0.25">
      <c r="A65" s="50" t="s">
        <v>91</v>
      </c>
      <c r="B65" s="56">
        <v>0</v>
      </c>
      <c r="C65" s="56">
        <v>0</v>
      </c>
      <c r="D65" s="56">
        <v>8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2">
        <f t="shared" si="1"/>
        <v>8</v>
      </c>
      <c r="K65" s="54">
        <f>J65+J64</f>
        <v>22.3</v>
      </c>
      <c r="L65" s="54">
        <f>SUM(J62:J65)</f>
        <v>52.6</v>
      </c>
      <c r="M65" s="54">
        <f>SUM(C62:I65)</f>
        <v>52</v>
      </c>
    </row>
    <row r="66" spans="1:13" ht="14.25" customHeight="1" x14ac:dyDescent="0.25">
      <c r="A66" s="50" t="s">
        <v>92</v>
      </c>
      <c r="B66" s="56">
        <v>2</v>
      </c>
      <c r="C66" s="56">
        <v>1</v>
      </c>
      <c r="D66" s="56">
        <v>9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2">
        <f t="shared" si="1"/>
        <v>10.1</v>
      </c>
      <c r="K66" s="53"/>
      <c r="L66" s="53"/>
      <c r="M66" s="53"/>
    </row>
    <row r="67" spans="1:13" ht="14.25" customHeight="1" x14ac:dyDescent="0.25">
      <c r="A67" s="50" t="s">
        <v>93</v>
      </c>
      <c r="B67" s="56">
        <v>0</v>
      </c>
      <c r="C67" s="56">
        <v>0</v>
      </c>
      <c r="D67" s="56">
        <v>10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2">
        <f t="shared" si="1"/>
        <v>10</v>
      </c>
      <c r="K67" s="54">
        <f>J67+J66</f>
        <v>20.100000000000001</v>
      </c>
      <c r="L67" s="55"/>
      <c r="M67" s="55"/>
    </row>
    <row r="68" spans="1:13" ht="14.25" customHeight="1" x14ac:dyDescent="0.25">
      <c r="A68" s="50" t="s">
        <v>94</v>
      </c>
      <c r="B68" s="56">
        <v>0</v>
      </c>
      <c r="C68" s="56">
        <v>0</v>
      </c>
      <c r="D68" s="56">
        <v>10</v>
      </c>
      <c r="E68" s="56">
        <v>0</v>
      </c>
      <c r="F68" s="56">
        <v>0</v>
      </c>
      <c r="G68" s="56">
        <v>0</v>
      </c>
      <c r="H68" s="56">
        <v>0</v>
      </c>
      <c r="I68" s="56">
        <v>0</v>
      </c>
      <c r="J68" s="52">
        <f t="shared" si="1"/>
        <v>10</v>
      </c>
      <c r="K68" s="53"/>
      <c r="L68" s="54"/>
      <c r="M68" s="54"/>
    </row>
    <row r="69" spans="1:13" ht="14.25" customHeight="1" x14ac:dyDescent="0.25">
      <c r="A69" s="50" t="s">
        <v>95</v>
      </c>
      <c r="B69" s="56">
        <v>1</v>
      </c>
      <c r="C69" s="56">
        <v>0</v>
      </c>
      <c r="D69" s="56">
        <v>12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2">
        <f t="shared" si="1"/>
        <v>12.3</v>
      </c>
      <c r="K69" s="54">
        <f>J69+J68</f>
        <v>22.3</v>
      </c>
      <c r="L69" s="54">
        <f>SUM(J66:J69)</f>
        <v>42.400000000000006</v>
      </c>
      <c r="M69" s="54">
        <f>SUM(C66:I69)</f>
        <v>42</v>
      </c>
    </row>
    <row r="70" spans="1:13" ht="14.25" customHeight="1" x14ac:dyDescent="0.25">
      <c r="A70" s="50" t="s">
        <v>96</v>
      </c>
      <c r="B70" s="51"/>
      <c r="C70" s="51"/>
      <c r="D70" s="51"/>
      <c r="E70" s="51"/>
      <c r="F70" s="51"/>
      <c r="G70" s="51"/>
      <c r="H70" s="51"/>
      <c r="I70" s="51"/>
      <c r="J70" s="52">
        <f t="shared" si="1"/>
        <v>0</v>
      </c>
      <c r="K70" s="53"/>
      <c r="L70" s="53"/>
      <c r="M70" s="53"/>
    </row>
    <row r="71" spans="1:13" ht="14.25" customHeight="1" x14ac:dyDescent="0.25">
      <c r="A71" s="50" t="s">
        <v>97</v>
      </c>
      <c r="B71" s="51"/>
      <c r="C71" s="51"/>
      <c r="D71" s="51"/>
      <c r="E71" s="51"/>
      <c r="F71" s="51"/>
      <c r="G71" s="51"/>
      <c r="H71" s="51"/>
      <c r="I71" s="51"/>
      <c r="J71" s="52">
        <f t="shared" si="1"/>
        <v>0</v>
      </c>
      <c r="K71" s="54">
        <f>J71+J70</f>
        <v>0</v>
      </c>
      <c r="L71" s="55"/>
      <c r="M71" s="55"/>
    </row>
    <row r="72" spans="1:13" ht="14.25" customHeight="1" x14ac:dyDescent="0.25">
      <c r="A72" s="50" t="s">
        <v>98</v>
      </c>
      <c r="B72" s="51"/>
      <c r="C72" s="51"/>
      <c r="D72" s="51"/>
      <c r="E72" s="51"/>
      <c r="F72" s="51"/>
      <c r="G72" s="51"/>
      <c r="H72" s="51"/>
      <c r="I72" s="51"/>
      <c r="J72" s="52">
        <f t="shared" si="1"/>
        <v>0</v>
      </c>
      <c r="K72" s="53"/>
      <c r="L72" s="54"/>
      <c r="M72" s="54"/>
    </row>
    <row r="73" spans="1:13" ht="14.25" customHeight="1" x14ac:dyDescent="0.25">
      <c r="A73" s="58" t="s">
        <v>99</v>
      </c>
      <c r="B73" s="51"/>
      <c r="C73" s="51"/>
      <c r="D73" s="51"/>
      <c r="E73" s="51"/>
      <c r="F73" s="51"/>
      <c r="G73" s="51"/>
      <c r="H73" s="51"/>
      <c r="I73" s="51"/>
      <c r="J73" s="52">
        <f t="shared" si="1"/>
        <v>0</v>
      </c>
      <c r="K73" s="54">
        <f>J73+J72</f>
        <v>0</v>
      </c>
      <c r="L73" s="54">
        <f>SUM(J70:J73)</f>
        <v>0</v>
      </c>
      <c r="M73" s="54">
        <f>SUM(C70:I73)</f>
        <v>0</v>
      </c>
    </row>
    <row r="74" spans="1:13" ht="14.25" customHeight="1" x14ac:dyDescent="0.25">
      <c r="A74" s="59" t="s">
        <v>100</v>
      </c>
      <c r="B74" s="51"/>
      <c r="C74" s="51"/>
      <c r="D74" s="51"/>
      <c r="E74" s="51"/>
      <c r="F74" s="51"/>
      <c r="G74" s="51"/>
      <c r="H74" s="51"/>
      <c r="I74" s="51"/>
      <c r="J74" s="52">
        <f t="shared" si="1"/>
        <v>0</v>
      </c>
      <c r="K74" s="53"/>
      <c r="L74" s="53"/>
      <c r="M74" s="53"/>
    </row>
    <row r="75" spans="1:13" ht="14.25" customHeight="1" x14ac:dyDescent="0.25">
      <c r="A75" s="59" t="s">
        <v>101</v>
      </c>
      <c r="B75" s="51"/>
      <c r="C75" s="51"/>
      <c r="D75" s="51"/>
      <c r="E75" s="51"/>
      <c r="F75" s="51"/>
      <c r="G75" s="51"/>
      <c r="H75" s="51"/>
      <c r="I75" s="51"/>
      <c r="J75" s="52">
        <f t="shared" si="1"/>
        <v>0</v>
      </c>
      <c r="K75" s="54">
        <f>J75+J74</f>
        <v>0</v>
      </c>
      <c r="L75" s="55"/>
      <c r="M75" s="55"/>
    </row>
    <row r="76" spans="1:13" ht="14.25" customHeight="1" x14ac:dyDescent="0.25">
      <c r="A76" s="59" t="s">
        <v>102</v>
      </c>
      <c r="B76" s="51"/>
      <c r="C76" s="51"/>
      <c r="D76" s="51"/>
      <c r="E76" s="51"/>
      <c r="F76" s="51"/>
      <c r="G76" s="51"/>
      <c r="H76" s="51"/>
      <c r="I76" s="51"/>
      <c r="J76" s="52">
        <f t="shared" si="1"/>
        <v>0</v>
      </c>
      <c r="K76" s="53"/>
      <c r="L76" s="54"/>
      <c r="M76" s="54"/>
    </row>
    <row r="77" spans="1:13" ht="14.25" customHeight="1" x14ac:dyDescent="0.25">
      <c r="A77" s="59" t="s">
        <v>103</v>
      </c>
      <c r="B77" s="51"/>
      <c r="C77" s="51"/>
      <c r="D77" s="51"/>
      <c r="E77" s="51"/>
      <c r="F77" s="51"/>
      <c r="G77" s="51"/>
      <c r="H77" s="51"/>
      <c r="I77" s="51"/>
      <c r="J77" s="52">
        <f t="shared" si="1"/>
        <v>0</v>
      </c>
      <c r="K77" s="54">
        <f>J77+J76</f>
        <v>0</v>
      </c>
      <c r="L77" s="54">
        <f>SUM(J74:J77)</f>
        <v>0</v>
      </c>
      <c r="M77" s="54">
        <f>SUM(C74:I77)</f>
        <v>0</v>
      </c>
    </row>
    <row r="78" spans="1:13" ht="14.25" customHeight="1" x14ac:dyDescent="0.25">
      <c r="A78" s="59" t="s">
        <v>104</v>
      </c>
      <c r="B78" s="51"/>
      <c r="C78" s="51"/>
      <c r="D78" s="51"/>
      <c r="E78" s="51"/>
      <c r="F78" s="51"/>
      <c r="G78" s="51"/>
      <c r="H78" s="51"/>
      <c r="I78" s="51"/>
      <c r="J78" s="52">
        <f t="shared" ref="J78:J109" si="2">SUMPRODUCT(B78:I78,$B$11:$I$11)</f>
        <v>0</v>
      </c>
      <c r="K78" s="53"/>
      <c r="L78" s="53"/>
      <c r="M78" s="53"/>
    </row>
    <row r="79" spans="1:13" ht="14.25" customHeight="1" x14ac:dyDescent="0.25">
      <c r="A79" s="59" t="s">
        <v>105</v>
      </c>
      <c r="B79" s="51"/>
      <c r="C79" s="51"/>
      <c r="D79" s="51"/>
      <c r="E79" s="51"/>
      <c r="F79" s="51"/>
      <c r="G79" s="51"/>
      <c r="H79" s="51"/>
      <c r="I79" s="51"/>
      <c r="J79" s="52">
        <f t="shared" si="2"/>
        <v>0</v>
      </c>
      <c r="K79" s="54">
        <f>J79+J78</f>
        <v>0</v>
      </c>
      <c r="L79" s="55"/>
      <c r="M79" s="55"/>
    </row>
    <row r="80" spans="1:13" ht="14.25" customHeight="1" x14ac:dyDescent="0.25">
      <c r="A80" s="59" t="s">
        <v>106</v>
      </c>
      <c r="B80" s="51"/>
      <c r="C80" s="51"/>
      <c r="D80" s="51"/>
      <c r="E80" s="51"/>
      <c r="F80" s="51"/>
      <c r="G80" s="51"/>
      <c r="H80" s="51"/>
      <c r="I80" s="51"/>
      <c r="J80" s="52">
        <f t="shared" si="2"/>
        <v>0</v>
      </c>
      <c r="K80" s="53"/>
      <c r="L80" s="54"/>
      <c r="M80" s="54"/>
    </row>
    <row r="81" spans="1:13" ht="14.25" customHeight="1" x14ac:dyDescent="0.25">
      <c r="A81" s="59" t="s">
        <v>107</v>
      </c>
      <c r="B81" s="51"/>
      <c r="C81" s="51"/>
      <c r="D81" s="51"/>
      <c r="E81" s="51"/>
      <c r="F81" s="51"/>
      <c r="G81" s="51"/>
      <c r="H81" s="51"/>
      <c r="I81" s="51"/>
      <c r="J81" s="52">
        <f t="shared" si="2"/>
        <v>0</v>
      </c>
      <c r="K81" s="54">
        <f>J81+J80</f>
        <v>0</v>
      </c>
      <c r="L81" s="54">
        <f>SUM(J78:J81)</f>
        <v>0</v>
      </c>
      <c r="M81" s="54">
        <f>SUM(C78:I81)</f>
        <v>0</v>
      </c>
    </row>
    <row r="82" spans="1:13" ht="14.25" customHeight="1" x14ac:dyDescent="0.45">
      <c r="A82" s="60" t="s">
        <v>108</v>
      </c>
      <c r="B82" s="61">
        <f>SUM(B$14:B81)</f>
        <v>32</v>
      </c>
      <c r="C82" s="61">
        <f>SUM(C$14:C81)</f>
        <v>6</v>
      </c>
      <c r="D82" s="61">
        <f>SUM(D$14:D81)</f>
        <v>613</v>
      </c>
      <c r="E82" s="61">
        <f>SUM(E$14:E81)</f>
        <v>0</v>
      </c>
      <c r="F82" s="61">
        <f>SUM(F$14:F81)</f>
        <v>0</v>
      </c>
      <c r="G82" s="61">
        <f>SUM(G$14:G81)</f>
        <v>1</v>
      </c>
      <c r="H82" s="61">
        <f>SUM(H$14:H81)</f>
        <v>0</v>
      </c>
      <c r="I82" s="61">
        <f>SUM(I$14:I81)</f>
        <v>0</v>
      </c>
      <c r="J82" s="61">
        <f>SUM(B82:I82)</f>
        <v>652</v>
      </c>
      <c r="K82" s="62"/>
      <c r="L82" s="63"/>
      <c r="M82" s="63"/>
    </row>
    <row r="83" spans="1:13" ht="14.25" customHeight="1" x14ac:dyDescent="0.25">
      <c r="L83" s="64"/>
      <c r="M83" s="64"/>
    </row>
    <row r="84" spans="1:13" ht="14.25" customHeight="1" x14ac:dyDescent="0.25">
      <c r="L84" s="65"/>
      <c r="M84" s="65"/>
    </row>
    <row r="85" spans="1:13" ht="14.25" customHeight="1" x14ac:dyDescent="0.25">
      <c r="L85" s="65"/>
      <c r="M85" s="65"/>
    </row>
    <row r="86" spans="1:13" ht="14.25" customHeight="1" x14ac:dyDescent="0.25"/>
    <row r="87" spans="1:13" ht="14.25" customHeight="1" x14ac:dyDescent="0.25"/>
    <row r="88" spans="1:13" ht="14.25" customHeight="1" x14ac:dyDescent="0.25"/>
    <row r="89" spans="1:13" ht="14.25" customHeight="1" x14ac:dyDescent="0.25"/>
    <row r="90" spans="1:13" ht="14.25" customHeight="1" x14ac:dyDescent="0.25"/>
    <row r="91" spans="1:13" ht="14.25" customHeight="1" x14ac:dyDescent="0.25"/>
    <row r="92" spans="1:13" ht="14.25" customHeight="1" x14ac:dyDescent="0.25"/>
    <row r="93" spans="1:13" ht="14.25" customHeight="1" x14ac:dyDescent="0.25"/>
    <row r="94" spans="1:13" ht="14.25" customHeight="1" x14ac:dyDescent="0.25"/>
    <row r="95" spans="1:13" ht="14.25" customHeight="1" x14ac:dyDescent="0.25"/>
    <row r="96" spans="1:1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</sheetData>
  <mergeCells count="2">
    <mergeCell ref="A3:M3"/>
    <mergeCell ref="A4:M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M975"/>
  <sheetViews>
    <sheetView zoomScale="85" zoomScaleNormal="85" workbookViewId="0"/>
  </sheetViews>
  <sheetFormatPr defaultColWidth="15.90625" defaultRowHeight="12.75" customHeight="1" x14ac:dyDescent="0.25"/>
  <cols>
    <col min="1" max="1" width="14.453125" customWidth="1"/>
    <col min="2" max="9" width="6.90625" customWidth="1"/>
    <col min="10" max="13" width="7.453125" customWidth="1"/>
    <col min="16377" max="16384" width="11.54296875" customWidth="1"/>
  </cols>
  <sheetData>
    <row r="1" spans="1:13" ht="14.2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8.75" customHeight="1" x14ac:dyDescent="0.4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35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4.25" customHeight="1" x14ac:dyDescent="0.3">
      <c r="A5" s="24" t="s">
        <v>6</v>
      </c>
      <c r="B5" s="25"/>
      <c r="C5" s="26"/>
      <c r="D5" s="27"/>
      <c r="E5" s="27"/>
      <c r="F5" s="25"/>
      <c r="G5" s="25"/>
      <c r="H5" s="28"/>
      <c r="I5" s="26"/>
      <c r="J5" s="27" t="s">
        <v>3</v>
      </c>
      <c r="K5" s="25">
        <v>0</v>
      </c>
      <c r="L5" s="29"/>
      <c r="M5" s="30"/>
    </row>
    <row r="6" spans="1:13" ht="14.25" customHeight="1" x14ac:dyDescent="0.3">
      <c r="A6" s="31">
        <f>Deckbl.!I11</f>
        <v>45944</v>
      </c>
      <c r="B6" s="9"/>
      <c r="C6" s="8"/>
      <c r="D6" s="8"/>
      <c r="E6" s="9"/>
      <c r="F6" s="9"/>
      <c r="G6" s="9"/>
      <c r="H6" s="9"/>
      <c r="I6" s="8"/>
      <c r="J6" s="12" t="s">
        <v>9</v>
      </c>
      <c r="K6" s="32" t="str">
        <f>Deckbl.!I12</f>
        <v>9-14 ° sonnig</v>
      </c>
      <c r="L6" s="33"/>
      <c r="M6" s="34"/>
    </row>
    <row r="7" spans="1:13" ht="14.25" customHeight="1" x14ac:dyDescent="0.3">
      <c r="A7" s="35"/>
      <c r="B7" s="12" t="s">
        <v>14</v>
      </c>
      <c r="C7" s="36" t="str">
        <f>Deckbl.!C8</f>
        <v>B122 / Badhaller Straße / Holznerweg (Bad Hall)</v>
      </c>
      <c r="D7" s="33"/>
      <c r="E7" s="37"/>
      <c r="F7" s="37"/>
      <c r="G7" s="37"/>
      <c r="H7" s="37"/>
      <c r="I7" s="38"/>
      <c r="J7" s="36"/>
      <c r="K7" s="37"/>
      <c r="L7" s="37"/>
      <c r="M7" s="39"/>
    </row>
    <row r="8" spans="1:13" ht="14.25" customHeight="1" x14ac:dyDescent="0.3">
      <c r="A8" s="35"/>
      <c r="B8" s="12" t="s">
        <v>15</v>
      </c>
      <c r="C8" s="33"/>
      <c r="D8" s="33"/>
      <c r="E8" s="37"/>
      <c r="F8" s="37"/>
      <c r="G8" s="37"/>
      <c r="H8" s="37"/>
      <c r="I8" s="38" t="s">
        <v>7</v>
      </c>
      <c r="J8" s="36" t="s">
        <v>16</v>
      </c>
      <c r="K8" s="40"/>
      <c r="L8" s="37"/>
      <c r="M8" s="39"/>
    </row>
    <row r="9" spans="1:13" ht="14.25" customHeight="1" x14ac:dyDescent="0.3">
      <c r="A9" s="35"/>
      <c r="B9" s="12" t="s">
        <v>17</v>
      </c>
      <c r="C9" s="41" t="s">
        <v>119</v>
      </c>
      <c r="D9" s="8"/>
      <c r="E9" s="9"/>
      <c r="F9" s="9"/>
      <c r="G9" s="9"/>
      <c r="H9" s="9"/>
      <c r="I9" s="12" t="s">
        <v>19</v>
      </c>
      <c r="J9" s="36" t="str">
        <f>Deckbl.!C11</f>
        <v>7-19 Uhr</v>
      </c>
      <c r="K9" s="37"/>
      <c r="L9" s="37"/>
      <c r="M9" s="39"/>
    </row>
    <row r="10" spans="1:13" ht="14.25" customHeight="1" x14ac:dyDescent="0.3">
      <c r="A10" s="35"/>
      <c r="B10" s="38" t="s">
        <v>20</v>
      </c>
      <c r="C10" s="42"/>
      <c r="D10" s="33"/>
      <c r="E10" s="37"/>
      <c r="F10" s="37"/>
      <c r="G10" s="37"/>
      <c r="H10" s="37"/>
      <c r="I10" s="38"/>
      <c r="J10" s="36"/>
      <c r="K10" s="37"/>
      <c r="L10" s="36"/>
      <c r="M10" s="39"/>
    </row>
    <row r="11" spans="1:13" ht="14.25" customHeight="1" x14ac:dyDescent="0.25">
      <c r="A11" s="43" t="s">
        <v>21</v>
      </c>
      <c r="B11" s="44">
        <v>0.3</v>
      </c>
      <c r="C11" s="44">
        <v>0.5</v>
      </c>
      <c r="D11" s="44">
        <v>1</v>
      </c>
      <c r="E11" s="44">
        <v>2</v>
      </c>
      <c r="F11" s="44">
        <v>2</v>
      </c>
      <c r="G11" s="44">
        <v>2</v>
      </c>
      <c r="H11" s="44">
        <v>3</v>
      </c>
      <c r="I11" s="44">
        <v>2</v>
      </c>
      <c r="J11" s="45"/>
      <c r="K11" s="45"/>
      <c r="L11" s="45"/>
      <c r="M11" s="45"/>
    </row>
    <row r="12" spans="1:13" ht="14.25" customHeight="1" x14ac:dyDescent="0.25">
      <c r="A12" s="46"/>
      <c r="B12" s="24"/>
      <c r="C12" s="47" t="s">
        <v>22</v>
      </c>
      <c r="D12" s="24" t="s">
        <v>23</v>
      </c>
      <c r="E12" s="47" t="s">
        <v>24</v>
      </c>
      <c r="F12" s="47" t="s">
        <v>25</v>
      </c>
      <c r="G12" s="24" t="s">
        <v>26</v>
      </c>
      <c r="H12" s="47" t="s">
        <v>27</v>
      </c>
      <c r="I12" s="47" t="s">
        <v>28</v>
      </c>
      <c r="J12" s="48" t="s">
        <v>29</v>
      </c>
      <c r="K12" s="48" t="s">
        <v>29</v>
      </c>
      <c r="L12" s="48" t="s">
        <v>29</v>
      </c>
      <c r="M12" s="48" t="s">
        <v>30</v>
      </c>
    </row>
    <row r="13" spans="1:13" ht="14.25" customHeight="1" x14ac:dyDescent="0.25">
      <c r="A13" s="49" t="s">
        <v>31</v>
      </c>
      <c r="B13" s="47" t="s">
        <v>32</v>
      </c>
      <c r="C13" s="47" t="s">
        <v>30</v>
      </c>
      <c r="D13" s="47" t="s">
        <v>33</v>
      </c>
      <c r="E13" s="47" t="s">
        <v>34</v>
      </c>
      <c r="F13" s="47" t="s">
        <v>34</v>
      </c>
      <c r="G13" s="47"/>
      <c r="H13" s="47" t="s">
        <v>35</v>
      </c>
      <c r="I13" s="47" t="s">
        <v>36</v>
      </c>
      <c r="J13" s="48" t="s">
        <v>37</v>
      </c>
      <c r="K13" s="48" t="s">
        <v>38</v>
      </c>
      <c r="L13" s="48" t="s">
        <v>39</v>
      </c>
      <c r="M13" s="48" t="s">
        <v>39</v>
      </c>
    </row>
    <row r="14" spans="1:13" ht="14.25" customHeight="1" x14ac:dyDescent="0.25">
      <c r="A14" s="50" t="s">
        <v>40</v>
      </c>
      <c r="B14" s="51"/>
      <c r="C14" s="51"/>
      <c r="D14" s="51"/>
      <c r="E14" s="51"/>
      <c r="F14" s="51"/>
      <c r="G14" s="51"/>
      <c r="H14" s="51"/>
      <c r="I14" s="51"/>
      <c r="J14" s="52">
        <f t="shared" ref="J14:J45" si="0">SUMPRODUCT(B14:I14,$B$11:$I$11)</f>
        <v>0</v>
      </c>
      <c r="K14" s="53"/>
      <c r="L14" s="53"/>
      <c r="M14" s="53"/>
    </row>
    <row r="15" spans="1:13" ht="14.25" customHeight="1" x14ac:dyDescent="0.25">
      <c r="A15" s="50" t="s">
        <v>41</v>
      </c>
      <c r="B15" s="51"/>
      <c r="C15" s="51"/>
      <c r="D15" s="51"/>
      <c r="E15" s="51"/>
      <c r="F15" s="51"/>
      <c r="G15" s="51"/>
      <c r="H15" s="51"/>
      <c r="I15" s="51"/>
      <c r="J15" s="52">
        <f t="shared" si="0"/>
        <v>0</v>
      </c>
      <c r="K15" s="54">
        <f>J15+J14</f>
        <v>0</v>
      </c>
      <c r="L15" s="55"/>
      <c r="M15" s="55"/>
    </row>
    <row r="16" spans="1:13" ht="14.25" customHeight="1" x14ac:dyDescent="0.25">
      <c r="A16" s="50" t="s">
        <v>42</v>
      </c>
      <c r="B16" s="51"/>
      <c r="C16" s="51"/>
      <c r="D16" s="51"/>
      <c r="E16" s="51"/>
      <c r="F16" s="51"/>
      <c r="G16" s="51"/>
      <c r="H16" s="51"/>
      <c r="I16" s="51"/>
      <c r="J16" s="52">
        <f t="shared" si="0"/>
        <v>0</v>
      </c>
      <c r="K16" s="53"/>
      <c r="L16" s="54"/>
      <c r="M16" s="54"/>
    </row>
    <row r="17" spans="1:13" ht="14.25" customHeight="1" x14ac:dyDescent="0.25">
      <c r="A17" s="50" t="s">
        <v>43</v>
      </c>
      <c r="B17" s="51"/>
      <c r="C17" s="51"/>
      <c r="D17" s="51"/>
      <c r="E17" s="51"/>
      <c r="F17" s="51"/>
      <c r="G17" s="51"/>
      <c r="H17" s="51"/>
      <c r="I17" s="51"/>
      <c r="J17" s="52">
        <f t="shared" si="0"/>
        <v>0</v>
      </c>
      <c r="K17" s="54">
        <f>J17+J16</f>
        <v>0</v>
      </c>
      <c r="L17" s="54">
        <f>SUM(J14:J17)</f>
        <v>0</v>
      </c>
      <c r="M17" s="54">
        <f>SUM(C14:I17)</f>
        <v>0</v>
      </c>
    </row>
    <row r="18" spans="1:13" ht="14.25" customHeight="1" x14ac:dyDescent="0.25">
      <c r="A18" s="50" t="s">
        <v>44</v>
      </c>
      <c r="B18" s="51"/>
      <c r="C18" s="51"/>
      <c r="D18" s="51"/>
      <c r="E18" s="51"/>
      <c r="F18" s="51"/>
      <c r="G18" s="51"/>
      <c r="H18" s="51"/>
      <c r="I18" s="51"/>
      <c r="J18" s="52">
        <f t="shared" si="0"/>
        <v>0</v>
      </c>
      <c r="K18" s="53"/>
      <c r="L18" s="53"/>
      <c r="M18" s="53"/>
    </row>
    <row r="19" spans="1:13" ht="14.25" customHeight="1" x14ac:dyDescent="0.25">
      <c r="A19" s="50" t="s">
        <v>45</v>
      </c>
      <c r="B19" s="51"/>
      <c r="C19" s="51"/>
      <c r="D19" s="51"/>
      <c r="E19" s="51"/>
      <c r="F19" s="51"/>
      <c r="G19" s="51"/>
      <c r="H19" s="51"/>
      <c r="I19" s="51"/>
      <c r="J19" s="52">
        <f t="shared" si="0"/>
        <v>0</v>
      </c>
      <c r="K19" s="54">
        <f>J19+J18</f>
        <v>0</v>
      </c>
      <c r="L19" s="55"/>
      <c r="M19" s="55"/>
    </row>
    <row r="20" spans="1:13" ht="14.25" customHeight="1" x14ac:dyDescent="0.25">
      <c r="A20" s="50" t="s">
        <v>46</v>
      </c>
      <c r="B20" s="51"/>
      <c r="C20" s="51"/>
      <c r="D20" s="51"/>
      <c r="E20" s="51"/>
      <c r="F20" s="51"/>
      <c r="G20" s="51"/>
      <c r="H20" s="51"/>
      <c r="I20" s="51"/>
      <c r="J20" s="52">
        <f t="shared" si="0"/>
        <v>0</v>
      </c>
      <c r="K20" s="53"/>
      <c r="L20" s="54"/>
      <c r="M20" s="54"/>
    </row>
    <row r="21" spans="1:13" ht="14.25" customHeight="1" x14ac:dyDescent="0.25">
      <c r="A21" s="50" t="s">
        <v>47</v>
      </c>
      <c r="B21" s="51"/>
      <c r="C21" s="51"/>
      <c r="D21" s="51"/>
      <c r="E21" s="51"/>
      <c r="F21" s="51"/>
      <c r="G21" s="51"/>
      <c r="H21" s="51"/>
      <c r="I21" s="51"/>
      <c r="J21" s="52">
        <f t="shared" si="0"/>
        <v>0</v>
      </c>
      <c r="K21" s="54">
        <f>J21+J20</f>
        <v>0</v>
      </c>
      <c r="L21" s="54">
        <f>SUM(J18:J21)</f>
        <v>0</v>
      </c>
      <c r="M21" s="54">
        <f>SUM(C18:I21)</f>
        <v>0</v>
      </c>
    </row>
    <row r="22" spans="1:13" ht="14.25" customHeight="1" x14ac:dyDescent="0.25">
      <c r="A22" s="50" t="s">
        <v>48</v>
      </c>
      <c r="B22" s="56">
        <v>0</v>
      </c>
      <c r="C22" s="56">
        <v>0</v>
      </c>
      <c r="D22" s="56">
        <v>11</v>
      </c>
      <c r="E22" s="56">
        <v>0</v>
      </c>
      <c r="F22" s="56">
        <v>0</v>
      </c>
      <c r="G22" s="56">
        <v>0</v>
      </c>
      <c r="H22" s="56">
        <v>0</v>
      </c>
      <c r="I22" s="56">
        <v>0</v>
      </c>
      <c r="J22" s="52">
        <f t="shared" si="0"/>
        <v>11</v>
      </c>
      <c r="K22" s="53"/>
      <c r="L22" s="53"/>
      <c r="M22" s="53"/>
    </row>
    <row r="23" spans="1:13" ht="14.25" customHeight="1" x14ac:dyDescent="0.25">
      <c r="A23" s="50" t="s">
        <v>49</v>
      </c>
      <c r="B23" s="56">
        <v>0</v>
      </c>
      <c r="C23" s="56">
        <v>0</v>
      </c>
      <c r="D23" s="56">
        <v>24</v>
      </c>
      <c r="E23" s="56">
        <v>0</v>
      </c>
      <c r="F23" s="56">
        <v>0</v>
      </c>
      <c r="G23" s="56">
        <v>0</v>
      </c>
      <c r="H23" s="56">
        <v>0</v>
      </c>
      <c r="I23" s="56">
        <v>0</v>
      </c>
      <c r="J23" s="52">
        <f t="shared" si="0"/>
        <v>24</v>
      </c>
      <c r="K23" s="54">
        <f>J23+J22</f>
        <v>35</v>
      </c>
      <c r="L23" s="55"/>
      <c r="M23" s="55"/>
    </row>
    <row r="24" spans="1:13" ht="14.25" customHeight="1" x14ac:dyDescent="0.25">
      <c r="A24" s="50" t="s">
        <v>50</v>
      </c>
      <c r="B24" s="56">
        <v>0</v>
      </c>
      <c r="C24" s="56">
        <v>0</v>
      </c>
      <c r="D24" s="56">
        <v>24</v>
      </c>
      <c r="E24" s="56">
        <v>0</v>
      </c>
      <c r="F24" s="56">
        <v>0</v>
      </c>
      <c r="G24" s="56">
        <v>0</v>
      </c>
      <c r="H24" s="56">
        <v>0</v>
      </c>
      <c r="I24" s="56">
        <v>0</v>
      </c>
      <c r="J24" s="52">
        <f t="shared" si="0"/>
        <v>24</v>
      </c>
      <c r="K24" s="53"/>
      <c r="L24" s="54"/>
      <c r="M24" s="54"/>
    </row>
    <row r="25" spans="1:13" ht="14.25" customHeight="1" x14ac:dyDescent="0.25">
      <c r="A25" s="50" t="s">
        <v>51</v>
      </c>
      <c r="B25" s="56">
        <v>0</v>
      </c>
      <c r="C25" s="56">
        <v>1</v>
      </c>
      <c r="D25" s="56">
        <v>19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2">
        <f t="shared" si="0"/>
        <v>19.5</v>
      </c>
      <c r="K25" s="54">
        <f>J25+J24</f>
        <v>43.5</v>
      </c>
      <c r="L25" s="54">
        <f>SUM(J22:J25)</f>
        <v>78.5</v>
      </c>
      <c r="M25" s="54">
        <f>SUM(C22:I25)</f>
        <v>79</v>
      </c>
    </row>
    <row r="26" spans="1:13" ht="14.25" customHeight="1" x14ac:dyDescent="0.25">
      <c r="A26" s="50" t="s">
        <v>52</v>
      </c>
      <c r="B26" s="56">
        <v>0</v>
      </c>
      <c r="C26" s="56">
        <v>0</v>
      </c>
      <c r="D26" s="56">
        <v>12</v>
      </c>
      <c r="E26" s="56">
        <v>0</v>
      </c>
      <c r="F26" s="56">
        <v>0</v>
      </c>
      <c r="G26" s="56">
        <v>0</v>
      </c>
      <c r="H26" s="56">
        <v>0</v>
      </c>
      <c r="I26" s="56">
        <v>0</v>
      </c>
      <c r="J26" s="52">
        <f t="shared" si="0"/>
        <v>12</v>
      </c>
      <c r="K26" s="53"/>
      <c r="L26" s="53"/>
      <c r="M26" s="53"/>
    </row>
    <row r="27" spans="1:13" ht="14.25" customHeight="1" x14ac:dyDescent="0.25">
      <c r="A27" s="50" t="s">
        <v>53</v>
      </c>
      <c r="B27" s="56">
        <v>0</v>
      </c>
      <c r="C27" s="56">
        <v>0</v>
      </c>
      <c r="D27" s="56">
        <v>6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52">
        <f t="shared" si="0"/>
        <v>6</v>
      </c>
      <c r="K27" s="54">
        <f>J27+J26</f>
        <v>18</v>
      </c>
      <c r="L27" s="55"/>
      <c r="M27" s="55"/>
    </row>
    <row r="28" spans="1:13" ht="14.25" customHeight="1" x14ac:dyDescent="0.25">
      <c r="A28" s="50" t="s">
        <v>54</v>
      </c>
      <c r="B28" s="56">
        <v>0</v>
      </c>
      <c r="C28" s="56">
        <v>0</v>
      </c>
      <c r="D28" s="56">
        <v>8</v>
      </c>
      <c r="E28" s="56">
        <v>0</v>
      </c>
      <c r="F28" s="56">
        <v>0</v>
      </c>
      <c r="G28" s="56">
        <v>0</v>
      </c>
      <c r="H28" s="56">
        <v>0</v>
      </c>
      <c r="I28" s="56">
        <v>0</v>
      </c>
      <c r="J28" s="52">
        <f t="shared" si="0"/>
        <v>8</v>
      </c>
      <c r="K28" s="53"/>
      <c r="L28" s="54"/>
      <c r="M28" s="54"/>
    </row>
    <row r="29" spans="1:13" ht="14.25" customHeight="1" x14ac:dyDescent="0.25">
      <c r="A29" s="50" t="s">
        <v>55</v>
      </c>
      <c r="B29" s="56">
        <v>0</v>
      </c>
      <c r="C29" s="56">
        <v>0</v>
      </c>
      <c r="D29" s="56">
        <v>7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52">
        <f t="shared" si="0"/>
        <v>7</v>
      </c>
      <c r="K29" s="54">
        <f>J29+J28</f>
        <v>15</v>
      </c>
      <c r="L29" s="54">
        <f>SUM(J26:J29)</f>
        <v>33</v>
      </c>
      <c r="M29" s="54">
        <f>SUM(C26:I29)</f>
        <v>33</v>
      </c>
    </row>
    <row r="30" spans="1:13" ht="14.25" customHeight="1" x14ac:dyDescent="0.25">
      <c r="A30" s="50" t="s">
        <v>56</v>
      </c>
      <c r="B30" s="56">
        <v>0</v>
      </c>
      <c r="C30" s="56">
        <v>0</v>
      </c>
      <c r="D30" s="56">
        <v>12</v>
      </c>
      <c r="E30" s="56">
        <v>0</v>
      </c>
      <c r="F30" s="56">
        <v>0</v>
      </c>
      <c r="G30" s="56">
        <v>1</v>
      </c>
      <c r="H30" s="56">
        <v>0</v>
      </c>
      <c r="I30" s="56">
        <v>0</v>
      </c>
      <c r="J30" s="52">
        <f t="shared" si="0"/>
        <v>14</v>
      </c>
      <c r="K30" s="53"/>
      <c r="L30" s="53"/>
      <c r="M30" s="53"/>
    </row>
    <row r="31" spans="1:13" ht="14.25" customHeight="1" x14ac:dyDescent="0.25">
      <c r="A31" s="50" t="s">
        <v>57</v>
      </c>
      <c r="B31" s="56">
        <v>0</v>
      </c>
      <c r="C31" s="56">
        <v>0</v>
      </c>
      <c r="D31" s="56">
        <v>9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2">
        <f t="shared" si="0"/>
        <v>9</v>
      </c>
      <c r="K31" s="54">
        <f>J31+J30</f>
        <v>23</v>
      </c>
      <c r="L31" s="55"/>
      <c r="M31" s="55"/>
    </row>
    <row r="32" spans="1:13" ht="14.25" customHeight="1" x14ac:dyDescent="0.25">
      <c r="A32" s="50" t="s">
        <v>58</v>
      </c>
      <c r="B32" s="56">
        <v>0</v>
      </c>
      <c r="C32" s="56">
        <v>0</v>
      </c>
      <c r="D32" s="56">
        <v>13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2">
        <f t="shared" si="0"/>
        <v>13</v>
      </c>
      <c r="K32" s="53"/>
      <c r="L32" s="54"/>
      <c r="M32" s="54"/>
    </row>
    <row r="33" spans="1:13" ht="14.25" customHeight="1" x14ac:dyDescent="0.25">
      <c r="A33" s="50" t="s">
        <v>59</v>
      </c>
      <c r="B33" s="56">
        <v>0</v>
      </c>
      <c r="C33" s="56">
        <v>0</v>
      </c>
      <c r="D33" s="56">
        <v>11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2">
        <f t="shared" si="0"/>
        <v>11</v>
      </c>
      <c r="K33" s="54">
        <f>J33+J32</f>
        <v>24</v>
      </c>
      <c r="L33" s="54">
        <f>SUM(J30:J33)</f>
        <v>47</v>
      </c>
      <c r="M33" s="54">
        <f>SUM(C30:I33)</f>
        <v>46</v>
      </c>
    </row>
    <row r="34" spans="1:13" ht="14.25" customHeight="1" x14ac:dyDescent="0.25">
      <c r="A34" s="50" t="s">
        <v>60</v>
      </c>
      <c r="B34" s="56">
        <v>0</v>
      </c>
      <c r="C34" s="56">
        <v>0</v>
      </c>
      <c r="D34" s="56">
        <v>12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2">
        <f t="shared" si="0"/>
        <v>12</v>
      </c>
      <c r="K34" s="53"/>
      <c r="L34" s="53"/>
      <c r="M34" s="53"/>
    </row>
    <row r="35" spans="1:13" ht="14.25" customHeight="1" x14ac:dyDescent="0.25">
      <c r="A35" s="50" t="s">
        <v>61</v>
      </c>
      <c r="B35" s="56">
        <v>0</v>
      </c>
      <c r="C35" s="56">
        <v>0</v>
      </c>
      <c r="D35" s="56">
        <v>11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2">
        <f t="shared" si="0"/>
        <v>11</v>
      </c>
      <c r="K35" s="54">
        <f>J35+J34</f>
        <v>23</v>
      </c>
      <c r="L35" s="55"/>
      <c r="M35" s="55"/>
    </row>
    <row r="36" spans="1:13" ht="14.25" customHeight="1" x14ac:dyDescent="0.25">
      <c r="A36" s="50" t="s">
        <v>62</v>
      </c>
      <c r="B36" s="56">
        <v>0</v>
      </c>
      <c r="C36" s="56">
        <v>0</v>
      </c>
      <c r="D36" s="56">
        <v>9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2">
        <f t="shared" si="0"/>
        <v>9</v>
      </c>
      <c r="K36" s="53"/>
      <c r="L36" s="54"/>
      <c r="M36" s="54"/>
    </row>
    <row r="37" spans="1:13" ht="14.25" customHeight="1" x14ac:dyDescent="0.25">
      <c r="A37" s="50" t="s">
        <v>63</v>
      </c>
      <c r="B37" s="56">
        <v>0</v>
      </c>
      <c r="C37" s="56">
        <v>0</v>
      </c>
      <c r="D37" s="56">
        <v>11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2">
        <f t="shared" si="0"/>
        <v>11</v>
      </c>
      <c r="K37" s="54">
        <f>J37+J36</f>
        <v>20</v>
      </c>
      <c r="L37" s="54">
        <f>SUM(J34:J37)</f>
        <v>43</v>
      </c>
      <c r="M37" s="54">
        <f>SUM(C34:I37)</f>
        <v>43</v>
      </c>
    </row>
    <row r="38" spans="1:13" ht="14.25" customHeight="1" x14ac:dyDescent="0.25">
      <c r="A38" s="50" t="s">
        <v>64</v>
      </c>
      <c r="B38" s="56">
        <v>0</v>
      </c>
      <c r="C38" s="56">
        <v>0</v>
      </c>
      <c r="D38" s="56">
        <v>9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2">
        <f t="shared" si="0"/>
        <v>9</v>
      </c>
      <c r="K38" s="53"/>
      <c r="L38" s="53"/>
      <c r="M38" s="53"/>
    </row>
    <row r="39" spans="1:13" ht="14.25" customHeight="1" x14ac:dyDescent="0.25">
      <c r="A39" s="50" t="s">
        <v>65</v>
      </c>
      <c r="B39" s="56">
        <v>0</v>
      </c>
      <c r="C39" s="56">
        <v>0</v>
      </c>
      <c r="D39" s="56">
        <v>14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2">
        <f t="shared" si="0"/>
        <v>14</v>
      </c>
      <c r="K39" s="54">
        <f>J39+J38</f>
        <v>23</v>
      </c>
      <c r="L39" s="55"/>
      <c r="M39" s="55"/>
    </row>
    <row r="40" spans="1:13" ht="14.25" customHeight="1" x14ac:dyDescent="0.25">
      <c r="A40" s="50" t="s">
        <v>66</v>
      </c>
      <c r="B40" s="56">
        <v>0</v>
      </c>
      <c r="C40" s="56">
        <v>0</v>
      </c>
      <c r="D40" s="56">
        <v>11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2">
        <f t="shared" si="0"/>
        <v>11</v>
      </c>
      <c r="K40" s="53"/>
      <c r="L40" s="54"/>
      <c r="M40" s="54"/>
    </row>
    <row r="41" spans="1:13" ht="14.25" customHeight="1" x14ac:dyDescent="0.25">
      <c r="A41" s="50" t="s">
        <v>67</v>
      </c>
      <c r="B41" s="56">
        <v>0</v>
      </c>
      <c r="C41" s="56">
        <v>0</v>
      </c>
      <c r="D41" s="56">
        <v>7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2">
        <f t="shared" si="0"/>
        <v>7</v>
      </c>
      <c r="K41" s="54">
        <f>J41+J40</f>
        <v>18</v>
      </c>
      <c r="L41" s="54">
        <f>SUM(J38:J41)</f>
        <v>41</v>
      </c>
      <c r="M41" s="54">
        <f>SUM(C38:I41)</f>
        <v>41</v>
      </c>
    </row>
    <row r="42" spans="1:13" ht="14.25" customHeight="1" x14ac:dyDescent="0.25">
      <c r="A42" s="50" t="s">
        <v>68</v>
      </c>
      <c r="B42" s="56">
        <v>0</v>
      </c>
      <c r="C42" s="56">
        <v>0</v>
      </c>
      <c r="D42" s="56">
        <v>12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2">
        <f t="shared" si="0"/>
        <v>12</v>
      </c>
      <c r="K42" s="53"/>
      <c r="L42" s="53"/>
      <c r="M42" s="53"/>
    </row>
    <row r="43" spans="1:13" ht="14.25" customHeight="1" x14ac:dyDescent="0.25">
      <c r="A43" s="50" t="s">
        <v>69</v>
      </c>
      <c r="B43" s="56">
        <v>0</v>
      </c>
      <c r="C43" s="56">
        <v>0</v>
      </c>
      <c r="D43" s="56">
        <v>8</v>
      </c>
      <c r="E43" s="56">
        <v>0</v>
      </c>
      <c r="F43" s="56">
        <v>0</v>
      </c>
      <c r="G43" s="56">
        <v>1</v>
      </c>
      <c r="H43" s="56">
        <v>0</v>
      </c>
      <c r="I43" s="56">
        <v>0</v>
      </c>
      <c r="J43" s="52">
        <f t="shared" si="0"/>
        <v>10</v>
      </c>
      <c r="K43" s="54">
        <f>J43+J42</f>
        <v>22</v>
      </c>
      <c r="L43" s="55"/>
      <c r="M43" s="55"/>
    </row>
    <row r="44" spans="1:13" ht="14.25" customHeight="1" x14ac:dyDescent="0.25">
      <c r="A44" s="50" t="s">
        <v>70</v>
      </c>
      <c r="B44" s="56">
        <v>0</v>
      </c>
      <c r="C44" s="56">
        <v>0</v>
      </c>
      <c r="D44" s="56">
        <v>8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2">
        <f t="shared" si="0"/>
        <v>8</v>
      </c>
      <c r="K44" s="53"/>
      <c r="L44" s="54"/>
      <c r="M44" s="54"/>
    </row>
    <row r="45" spans="1:13" ht="14.25" customHeight="1" x14ac:dyDescent="0.25">
      <c r="A45" s="50" t="s">
        <v>71</v>
      </c>
      <c r="B45" s="56">
        <v>0</v>
      </c>
      <c r="C45" s="56">
        <v>0</v>
      </c>
      <c r="D45" s="56">
        <v>5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2">
        <f t="shared" si="0"/>
        <v>5</v>
      </c>
      <c r="K45" s="54">
        <f>J45+J44</f>
        <v>13</v>
      </c>
      <c r="L45" s="54">
        <f>SUM(J42:J45)</f>
        <v>35</v>
      </c>
      <c r="M45" s="54">
        <f>SUM(C42:I45)</f>
        <v>34</v>
      </c>
    </row>
    <row r="46" spans="1:13" ht="14.25" customHeight="1" x14ac:dyDescent="0.25">
      <c r="A46" s="50" t="s">
        <v>72</v>
      </c>
      <c r="B46" s="56">
        <v>0</v>
      </c>
      <c r="C46" s="56">
        <v>0</v>
      </c>
      <c r="D46" s="56">
        <v>8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2">
        <f t="shared" ref="J46:J77" si="1">SUMPRODUCT(B46:I46,$B$11:$I$11)</f>
        <v>8</v>
      </c>
      <c r="K46" s="53"/>
      <c r="L46" s="53"/>
      <c r="M46" s="53"/>
    </row>
    <row r="47" spans="1:13" ht="14.25" customHeight="1" x14ac:dyDescent="0.25">
      <c r="A47" s="50" t="s">
        <v>73</v>
      </c>
      <c r="B47" s="56">
        <v>0</v>
      </c>
      <c r="C47" s="56">
        <v>0</v>
      </c>
      <c r="D47" s="56">
        <v>14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2">
        <f t="shared" si="1"/>
        <v>14</v>
      </c>
      <c r="K47" s="54">
        <f>J47+J46</f>
        <v>22</v>
      </c>
      <c r="L47" s="55"/>
      <c r="M47" s="55"/>
    </row>
    <row r="48" spans="1:13" ht="14.25" customHeight="1" x14ac:dyDescent="0.25">
      <c r="A48" s="50" t="s">
        <v>74</v>
      </c>
      <c r="B48" s="56">
        <v>0</v>
      </c>
      <c r="C48" s="56">
        <v>0</v>
      </c>
      <c r="D48" s="56">
        <v>8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2">
        <f t="shared" si="1"/>
        <v>8</v>
      </c>
      <c r="K48" s="53"/>
      <c r="L48" s="54"/>
      <c r="M48" s="54"/>
    </row>
    <row r="49" spans="1:13" ht="14.25" customHeight="1" x14ac:dyDescent="0.25">
      <c r="A49" s="50" t="s">
        <v>75</v>
      </c>
      <c r="B49" s="56">
        <v>0</v>
      </c>
      <c r="C49" s="56">
        <v>0</v>
      </c>
      <c r="D49" s="56">
        <v>16</v>
      </c>
      <c r="E49" s="56">
        <v>0</v>
      </c>
      <c r="F49" s="56">
        <v>0</v>
      </c>
      <c r="G49" s="56">
        <v>0</v>
      </c>
      <c r="H49" s="56">
        <v>0</v>
      </c>
      <c r="I49" s="56">
        <v>0</v>
      </c>
      <c r="J49" s="52">
        <f t="shared" si="1"/>
        <v>16</v>
      </c>
      <c r="K49" s="54">
        <f>J49+J48</f>
        <v>24</v>
      </c>
      <c r="L49" s="54">
        <f>SUM(J46:J49)</f>
        <v>46</v>
      </c>
      <c r="M49" s="54">
        <f>SUM(C46:I49)</f>
        <v>46</v>
      </c>
    </row>
    <row r="50" spans="1:13" ht="14.25" customHeight="1" x14ac:dyDescent="0.25">
      <c r="A50" s="50" t="s">
        <v>76</v>
      </c>
      <c r="B50" s="56">
        <v>0</v>
      </c>
      <c r="C50" s="56">
        <v>0</v>
      </c>
      <c r="D50" s="56">
        <v>8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2">
        <f t="shared" si="1"/>
        <v>8</v>
      </c>
      <c r="K50" s="53"/>
      <c r="L50" s="53"/>
      <c r="M50" s="53"/>
    </row>
    <row r="51" spans="1:13" ht="14.25" customHeight="1" x14ac:dyDescent="0.25">
      <c r="A51" s="50" t="s">
        <v>77</v>
      </c>
      <c r="B51" s="56">
        <v>0</v>
      </c>
      <c r="C51" s="56">
        <v>0</v>
      </c>
      <c r="D51" s="56">
        <v>15</v>
      </c>
      <c r="E51" s="56">
        <v>0</v>
      </c>
      <c r="F51" s="56">
        <v>0</v>
      </c>
      <c r="G51" s="56">
        <v>0</v>
      </c>
      <c r="H51" s="56">
        <v>0</v>
      </c>
      <c r="I51" s="56">
        <v>0</v>
      </c>
      <c r="J51" s="52">
        <f t="shared" si="1"/>
        <v>15</v>
      </c>
      <c r="K51" s="54">
        <f>J51+J50</f>
        <v>23</v>
      </c>
      <c r="L51" s="55"/>
      <c r="M51" s="55"/>
    </row>
    <row r="52" spans="1:13" ht="14.25" customHeight="1" x14ac:dyDescent="0.25">
      <c r="A52" s="50" t="s">
        <v>78</v>
      </c>
      <c r="B52" s="56">
        <v>0</v>
      </c>
      <c r="C52" s="56">
        <v>0</v>
      </c>
      <c r="D52" s="56">
        <v>9</v>
      </c>
      <c r="E52" s="56">
        <v>0</v>
      </c>
      <c r="F52" s="56">
        <v>0</v>
      </c>
      <c r="G52" s="56">
        <v>0</v>
      </c>
      <c r="H52" s="56">
        <v>0</v>
      </c>
      <c r="I52" s="56">
        <v>0</v>
      </c>
      <c r="J52" s="52">
        <f t="shared" si="1"/>
        <v>9</v>
      </c>
      <c r="K52" s="53"/>
      <c r="L52" s="54"/>
      <c r="M52" s="54"/>
    </row>
    <row r="53" spans="1:13" ht="14.25" customHeight="1" x14ac:dyDescent="0.25">
      <c r="A53" s="50" t="s">
        <v>79</v>
      </c>
      <c r="B53" s="56">
        <v>0</v>
      </c>
      <c r="C53" s="56">
        <v>0</v>
      </c>
      <c r="D53" s="56">
        <v>8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2">
        <f t="shared" si="1"/>
        <v>8</v>
      </c>
      <c r="K53" s="54">
        <f>J53+J52</f>
        <v>17</v>
      </c>
      <c r="L53" s="54">
        <f>SUM(J50:J53)</f>
        <v>40</v>
      </c>
      <c r="M53" s="54">
        <f>SUM(C50:I53)</f>
        <v>40</v>
      </c>
    </row>
    <row r="54" spans="1:13" ht="14.25" customHeight="1" x14ac:dyDescent="0.25">
      <c r="A54" s="50" t="s">
        <v>80</v>
      </c>
      <c r="B54" s="56">
        <v>0</v>
      </c>
      <c r="C54" s="56">
        <v>0</v>
      </c>
      <c r="D54" s="56">
        <v>11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2">
        <f t="shared" si="1"/>
        <v>11</v>
      </c>
      <c r="K54" s="53"/>
      <c r="L54" s="53"/>
      <c r="M54" s="53"/>
    </row>
    <row r="55" spans="1:13" ht="14.25" customHeight="1" x14ac:dyDescent="0.25">
      <c r="A55" s="50" t="s">
        <v>81</v>
      </c>
      <c r="B55" s="56">
        <v>0</v>
      </c>
      <c r="C55" s="56">
        <v>0</v>
      </c>
      <c r="D55" s="56">
        <v>8</v>
      </c>
      <c r="E55" s="56">
        <v>0</v>
      </c>
      <c r="F55" s="56">
        <v>0</v>
      </c>
      <c r="G55" s="56">
        <v>0</v>
      </c>
      <c r="H55" s="56">
        <v>0</v>
      </c>
      <c r="I55" s="56">
        <v>0</v>
      </c>
      <c r="J55" s="52">
        <f t="shared" si="1"/>
        <v>8</v>
      </c>
      <c r="K55" s="54">
        <f>J55+J54</f>
        <v>19</v>
      </c>
      <c r="L55" s="55"/>
      <c r="M55" s="55"/>
    </row>
    <row r="56" spans="1:13" ht="14.25" customHeight="1" x14ac:dyDescent="0.25">
      <c r="A56" s="50" t="s">
        <v>82</v>
      </c>
      <c r="B56" s="56">
        <v>0</v>
      </c>
      <c r="C56" s="56">
        <v>0</v>
      </c>
      <c r="D56" s="56">
        <v>7</v>
      </c>
      <c r="E56" s="56">
        <v>0</v>
      </c>
      <c r="F56" s="56">
        <v>0</v>
      </c>
      <c r="G56" s="56">
        <v>0</v>
      </c>
      <c r="H56" s="56">
        <v>0</v>
      </c>
      <c r="I56" s="56">
        <v>0</v>
      </c>
      <c r="J56" s="52">
        <f t="shared" si="1"/>
        <v>7</v>
      </c>
      <c r="K56" s="53"/>
      <c r="L56" s="54"/>
      <c r="M56" s="54"/>
    </row>
    <row r="57" spans="1:13" ht="14.25" customHeight="1" x14ac:dyDescent="0.25">
      <c r="A57" s="50" t="s">
        <v>83</v>
      </c>
      <c r="B57" s="56">
        <v>0</v>
      </c>
      <c r="C57" s="56">
        <v>2</v>
      </c>
      <c r="D57" s="56">
        <v>12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2">
        <f t="shared" si="1"/>
        <v>13</v>
      </c>
      <c r="K57" s="57">
        <f>J57+J56</f>
        <v>20</v>
      </c>
      <c r="L57" s="54">
        <f>SUM(J54:J57)</f>
        <v>39</v>
      </c>
      <c r="M57" s="54">
        <f>SUM(C54:I57)</f>
        <v>40</v>
      </c>
    </row>
    <row r="58" spans="1:13" ht="14.25" customHeight="1" x14ac:dyDescent="0.25">
      <c r="A58" s="50" t="s">
        <v>84</v>
      </c>
      <c r="B58" s="56">
        <v>0</v>
      </c>
      <c r="C58" s="56">
        <v>0</v>
      </c>
      <c r="D58" s="56">
        <v>15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2">
        <f t="shared" si="1"/>
        <v>15</v>
      </c>
      <c r="K58" s="53"/>
      <c r="L58" s="53"/>
      <c r="M58" s="53"/>
    </row>
    <row r="59" spans="1:13" ht="14.25" customHeight="1" x14ac:dyDescent="0.25">
      <c r="A59" s="50" t="s">
        <v>85</v>
      </c>
      <c r="B59" s="56">
        <v>0</v>
      </c>
      <c r="C59" s="56">
        <v>0</v>
      </c>
      <c r="D59" s="56">
        <v>14</v>
      </c>
      <c r="E59" s="56">
        <v>0</v>
      </c>
      <c r="F59" s="56">
        <v>0</v>
      </c>
      <c r="G59" s="56">
        <v>0</v>
      </c>
      <c r="H59" s="56">
        <v>0</v>
      </c>
      <c r="I59" s="56">
        <v>0</v>
      </c>
      <c r="J59" s="52">
        <f t="shared" si="1"/>
        <v>14</v>
      </c>
      <c r="K59" s="54">
        <f>J59+J58</f>
        <v>29</v>
      </c>
      <c r="L59" s="55"/>
      <c r="M59" s="55"/>
    </row>
    <row r="60" spans="1:13" ht="14.25" customHeight="1" x14ac:dyDescent="0.25">
      <c r="A60" s="50" t="s">
        <v>86</v>
      </c>
      <c r="B60" s="56">
        <v>0</v>
      </c>
      <c r="C60" s="56">
        <v>2</v>
      </c>
      <c r="D60" s="56">
        <v>13</v>
      </c>
      <c r="E60" s="56">
        <v>0</v>
      </c>
      <c r="F60" s="56">
        <v>0</v>
      </c>
      <c r="G60" s="56">
        <v>0</v>
      </c>
      <c r="H60" s="56">
        <v>0</v>
      </c>
      <c r="I60" s="56">
        <v>0</v>
      </c>
      <c r="J60" s="52">
        <f t="shared" si="1"/>
        <v>14</v>
      </c>
      <c r="K60" s="53"/>
      <c r="L60" s="54"/>
      <c r="M60" s="54"/>
    </row>
    <row r="61" spans="1:13" ht="14.25" customHeight="1" x14ac:dyDescent="0.25">
      <c r="A61" s="50" t="s">
        <v>87</v>
      </c>
      <c r="B61" s="56">
        <v>0</v>
      </c>
      <c r="C61" s="56">
        <v>0</v>
      </c>
      <c r="D61" s="56">
        <v>12</v>
      </c>
      <c r="E61" s="56">
        <v>0</v>
      </c>
      <c r="F61" s="56">
        <v>0</v>
      </c>
      <c r="G61" s="56">
        <v>0</v>
      </c>
      <c r="H61" s="56">
        <v>0</v>
      </c>
      <c r="I61" s="56">
        <v>0</v>
      </c>
      <c r="J61" s="52">
        <f t="shared" si="1"/>
        <v>12</v>
      </c>
      <c r="K61" s="54">
        <f>J61+J60</f>
        <v>26</v>
      </c>
      <c r="L61" s="54">
        <f>SUM(J58:J61)</f>
        <v>55</v>
      </c>
      <c r="M61" s="54">
        <f>SUM(C58:I61)</f>
        <v>56</v>
      </c>
    </row>
    <row r="62" spans="1:13" ht="14.25" customHeight="1" x14ac:dyDescent="0.25">
      <c r="A62" s="50" t="s">
        <v>88</v>
      </c>
      <c r="B62" s="56">
        <v>0</v>
      </c>
      <c r="C62" s="56">
        <v>0</v>
      </c>
      <c r="D62" s="56">
        <v>13</v>
      </c>
      <c r="E62" s="56">
        <v>0</v>
      </c>
      <c r="F62" s="56">
        <v>0</v>
      </c>
      <c r="G62" s="56">
        <v>1</v>
      </c>
      <c r="H62" s="56">
        <v>0</v>
      </c>
      <c r="I62" s="56">
        <v>0</v>
      </c>
      <c r="J62" s="52">
        <f t="shared" si="1"/>
        <v>15</v>
      </c>
      <c r="K62" s="53"/>
      <c r="L62" s="53"/>
      <c r="M62" s="53"/>
    </row>
    <row r="63" spans="1:13" ht="14.25" customHeight="1" x14ac:dyDescent="0.25">
      <c r="A63" s="50" t="s">
        <v>89</v>
      </c>
      <c r="B63" s="56">
        <v>0</v>
      </c>
      <c r="C63" s="56">
        <v>0</v>
      </c>
      <c r="D63" s="56">
        <v>5</v>
      </c>
      <c r="E63" s="56">
        <v>0</v>
      </c>
      <c r="F63" s="56">
        <v>0</v>
      </c>
      <c r="G63" s="56">
        <v>0</v>
      </c>
      <c r="H63" s="56">
        <v>0</v>
      </c>
      <c r="I63" s="56">
        <v>0</v>
      </c>
      <c r="J63" s="52">
        <f t="shared" si="1"/>
        <v>5</v>
      </c>
      <c r="K63" s="54">
        <f>J63+J62</f>
        <v>20</v>
      </c>
      <c r="L63" s="55"/>
      <c r="M63" s="55"/>
    </row>
    <row r="64" spans="1:13" ht="14.25" customHeight="1" x14ac:dyDescent="0.25">
      <c r="A64" s="50" t="s">
        <v>90</v>
      </c>
      <c r="B64" s="56">
        <v>0</v>
      </c>
      <c r="C64" s="56">
        <v>0</v>
      </c>
      <c r="D64" s="56">
        <v>8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2">
        <f t="shared" si="1"/>
        <v>8</v>
      </c>
      <c r="K64" s="53"/>
      <c r="L64" s="54"/>
      <c r="M64" s="54"/>
    </row>
    <row r="65" spans="1:13" ht="14.25" customHeight="1" x14ac:dyDescent="0.25">
      <c r="A65" s="50" t="s">
        <v>91</v>
      </c>
      <c r="B65" s="56">
        <v>1</v>
      </c>
      <c r="C65" s="56">
        <v>0</v>
      </c>
      <c r="D65" s="56">
        <v>7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2">
        <f t="shared" si="1"/>
        <v>7.3</v>
      </c>
      <c r="K65" s="54">
        <f>J65+J64</f>
        <v>15.3</v>
      </c>
      <c r="L65" s="54">
        <f>SUM(J62:J65)</f>
        <v>35.299999999999997</v>
      </c>
      <c r="M65" s="54">
        <f>SUM(C62:I65)</f>
        <v>34</v>
      </c>
    </row>
    <row r="66" spans="1:13" ht="14.25" customHeight="1" x14ac:dyDescent="0.25">
      <c r="A66" s="50" t="s">
        <v>92</v>
      </c>
      <c r="B66" s="56">
        <v>0</v>
      </c>
      <c r="C66" s="56">
        <v>0</v>
      </c>
      <c r="D66" s="56">
        <v>12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2">
        <f t="shared" si="1"/>
        <v>12</v>
      </c>
      <c r="K66" s="53"/>
      <c r="L66" s="53"/>
      <c r="M66" s="53"/>
    </row>
    <row r="67" spans="1:13" ht="14.25" customHeight="1" x14ac:dyDescent="0.25">
      <c r="A67" s="50" t="s">
        <v>93</v>
      </c>
      <c r="B67" s="56">
        <v>0</v>
      </c>
      <c r="C67" s="56">
        <v>1</v>
      </c>
      <c r="D67" s="56">
        <v>6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2">
        <f t="shared" si="1"/>
        <v>6.5</v>
      </c>
      <c r="K67" s="54">
        <f>J67+J66</f>
        <v>18.5</v>
      </c>
      <c r="L67" s="55"/>
      <c r="M67" s="55"/>
    </row>
    <row r="68" spans="1:13" ht="14.25" customHeight="1" x14ac:dyDescent="0.25">
      <c r="A68" s="50" t="s">
        <v>94</v>
      </c>
      <c r="B68" s="56">
        <v>0</v>
      </c>
      <c r="C68" s="56">
        <v>0</v>
      </c>
      <c r="D68" s="56">
        <v>9</v>
      </c>
      <c r="E68" s="56">
        <v>0</v>
      </c>
      <c r="F68" s="56">
        <v>0</v>
      </c>
      <c r="G68" s="56">
        <v>0</v>
      </c>
      <c r="H68" s="56">
        <v>0</v>
      </c>
      <c r="I68" s="56">
        <v>0</v>
      </c>
      <c r="J68" s="52">
        <f t="shared" si="1"/>
        <v>9</v>
      </c>
      <c r="K68" s="53"/>
      <c r="L68" s="54"/>
      <c r="M68" s="54"/>
    </row>
    <row r="69" spans="1:13" ht="14.25" customHeight="1" x14ac:dyDescent="0.25">
      <c r="A69" s="50" t="s">
        <v>95</v>
      </c>
      <c r="B69" s="56">
        <v>0</v>
      </c>
      <c r="C69" s="56">
        <v>0</v>
      </c>
      <c r="D69" s="56">
        <v>8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2">
        <f t="shared" si="1"/>
        <v>8</v>
      </c>
      <c r="K69" s="54">
        <f>J69+J68</f>
        <v>17</v>
      </c>
      <c r="L69" s="54">
        <f>SUM(J66:J69)</f>
        <v>35.5</v>
      </c>
      <c r="M69" s="54">
        <f>SUM(C66:I69)</f>
        <v>36</v>
      </c>
    </row>
    <row r="70" spans="1:13" ht="14.25" customHeight="1" x14ac:dyDescent="0.25">
      <c r="A70" s="50" t="s">
        <v>96</v>
      </c>
      <c r="B70" s="51"/>
      <c r="C70" s="51"/>
      <c r="D70" s="51"/>
      <c r="E70" s="51"/>
      <c r="F70" s="51"/>
      <c r="G70" s="51"/>
      <c r="H70" s="51"/>
      <c r="I70" s="51"/>
      <c r="J70" s="52">
        <f t="shared" si="1"/>
        <v>0</v>
      </c>
      <c r="K70" s="53"/>
      <c r="L70" s="53"/>
      <c r="M70" s="53"/>
    </row>
    <row r="71" spans="1:13" ht="14.25" customHeight="1" x14ac:dyDescent="0.25">
      <c r="A71" s="50" t="s">
        <v>97</v>
      </c>
      <c r="B71" s="51"/>
      <c r="C71" s="51"/>
      <c r="D71" s="51"/>
      <c r="E71" s="51"/>
      <c r="F71" s="51"/>
      <c r="G71" s="51"/>
      <c r="H71" s="51"/>
      <c r="I71" s="51"/>
      <c r="J71" s="52">
        <f t="shared" si="1"/>
        <v>0</v>
      </c>
      <c r="K71" s="54">
        <f>J71+J70</f>
        <v>0</v>
      </c>
      <c r="L71" s="55"/>
      <c r="M71" s="55"/>
    </row>
    <row r="72" spans="1:13" ht="14.25" customHeight="1" x14ac:dyDescent="0.25">
      <c r="A72" s="50" t="s">
        <v>98</v>
      </c>
      <c r="B72" s="51"/>
      <c r="C72" s="51"/>
      <c r="D72" s="51"/>
      <c r="E72" s="51"/>
      <c r="F72" s="51"/>
      <c r="G72" s="51"/>
      <c r="H72" s="51"/>
      <c r="I72" s="51"/>
      <c r="J72" s="52">
        <f t="shared" si="1"/>
        <v>0</v>
      </c>
      <c r="K72" s="53"/>
      <c r="L72" s="54"/>
      <c r="M72" s="54"/>
    </row>
    <row r="73" spans="1:13" ht="14.25" customHeight="1" x14ac:dyDescent="0.25">
      <c r="A73" s="58" t="s">
        <v>99</v>
      </c>
      <c r="B73" s="51"/>
      <c r="C73" s="51"/>
      <c r="D73" s="51"/>
      <c r="E73" s="51"/>
      <c r="F73" s="51"/>
      <c r="G73" s="51"/>
      <c r="H73" s="51"/>
      <c r="I73" s="51"/>
      <c r="J73" s="52">
        <f t="shared" si="1"/>
        <v>0</v>
      </c>
      <c r="K73" s="54">
        <f>J73+J72</f>
        <v>0</v>
      </c>
      <c r="L73" s="54">
        <f>SUM(J70:J73)</f>
        <v>0</v>
      </c>
      <c r="M73" s="54">
        <f>SUM(C70:I73)</f>
        <v>0</v>
      </c>
    </row>
    <row r="74" spans="1:13" ht="14.25" customHeight="1" x14ac:dyDescent="0.25">
      <c r="A74" s="59" t="s">
        <v>100</v>
      </c>
      <c r="B74" s="51"/>
      <c r="C74" s="51"/>
      <c r="D74" s="51"/>
      <c r="E74" s="51"/>
      <c r="F74" s="51"/>
      <c r="G74" s="51"/>
      <c r="H74" s="51"/>
      <c r="I74" s="51"/>
      <c r="J74" s="52">
        <f t="shared" si="1"/>
        <v>0</v>
      </c>
      <c r="K74" s="53"/>
      <c r="L74" s="53"/>
      <c r="M74" s="53"/>
    </row>
    <row r="75" spans="1:13" ht="14.25" customHeight="1" x14ac:dyDescent="0.25">
      <c r="A75" s="59" t="s">
        <v>101</v>
      </c>
      <c r="B75" s="51"/>
      <c r="C75" s="51"/>
      <c r="D75" s="51"/>
      <c r="E75" s="51"/>
      <c r="F75" s="51"/>
      <c r="G75" s="51"/>
      <c r="H75" s="51"/>
      <c r="I75" s="51"/>
      <c r="J75" s="52">
        <f t="shared" si="1"/>
        <v>0</v>
      </c>
      <c r="K75" s="54">
        <f>J75+J74</f>
        <v>0</v>
      </c>
      <c r="L75" s="55"/>
      <c r="M75" s="55"/>
    </row>
    <row r="76" spans="1:13" ht="14.25" customHeight="1" x14ac:dyDescent="0.25">
      <c r="A76" s="59" t="s">
        <v>102</v>
      </c>
      <c r="B76" s="51"/>
      <c r="C76" s="51"/>
      <c r="D76" s="51"/>
      <c r="E76" s="51"/>
      <c r="F76" s="51"/>
      <c r="G76" s="51"/>
      <c r="H76" s="51"/>
      <c r="I76" s="51"/>
      <c r="J76" s="52">
        <f t="shared" si="1"/>
        <v>0</v>
      </c>
      <c r="K76" s="53"/>
      <c r="L76" s="54"/>
      <c r="M76" s="54"/>
    </row>
    <row r="77" spans="1:13" ht="14.25" customHeight="1" x14ac:dyDescent="0.25">
      <c r="A77" s="59" t="s">
        <v>103</v>
      </c>
      <c r="B77" s="51"/>
      <c r="C77" s="51"/>
      <c r="D77" s="51"/>
      <c r="E77" s="51"/>
      <c r="F77" s="51"/>
      <c r="G77" s="51"/>
      <c r="H77" s="51"/>
      <c r="I77" s="51"/>
      <c r="J77" s="52">
        <f t="shared" si="1"/>
        <v>0</v>
      </c>
      <c r="K77" s="54">
        <f>J77+J76</f>
        <v>0</v>
      </c>
      <c r="L77" s="54">
        <f>SUM(J74:J77)</f>
        <v>0</v>
      </c>
      <c r="M77" s="54">
        <f>SUM(C74:I77)</f>
        <v>0</v>
      </c>
    </row>
    <row r="78" spans="1:13" ht="14.25" customHeight="1" x14ac:dyDescent="0.25">
      <c r="A78" s="59" t="s">
        <v>104</v>
      </c>
      <c r="B78" s="51"/>
      <c r="C78" s="51"/>
      <c r="D78" s="51"/>
      <c r="E78" s="51"/>
      <c r="F78" s="51"/>
      <c r="G78" s="51"/>
      <c r="H78" s="51"/>
      <c r="I78" s="51"/>
      <c r="J78" s="52">
        <f t="shared" ref="J78:J109" si="2">SUMPRODUCT(B78:I78,$B$11:$I$11)</f>
        <v>0</v>
      </c>
      <c r="K78" s="53"/>
      <c r="L78" s="53"/>
      <c r="M78" s="53"/>
    </row>
    <row r="79" spans="1:13" ht="14.25" customHeight="1" x14ac:dyDescent="0.25">
      <c r="A79" s="59" t="s">
        <v>105</v>
      </c>
      <c r="B79" s="51"/>
      <c r="C79" s="51"/>
      <c r="D79" s="51"/>
      <c r="E79" s="51"/>
      <c r="F79" s="51"/>
      <c r="G79" s="51"/>
      <c r="H79" s="51"/>
      <c r="I79" s="51"/>
      <c r="J79" s="52">
        <f t="shared" si="2"/>
        <v>0</v>
      </c>
      <c r="K79" s="54">
        <f>J79+J78</f>
        <v>0</v>
      </c>
      <c r="L79" s="55"/>
      <c r="M79" s="55"/>
    </row>
    <row r="80" spans="1:13" ht="14.25" customHeight="1" x14ac:dyDescent="0.25">
      <c r="A80" s="59" t="s">
        <v>106</v>
      </c>
      <c r="B80" s="51"/>
      <c r="C80" s="51"/>
      <c r="D80" s="51"/>
      <c r="E80" s="51"/>
      <c r="F80" s="51"/>
      <c r="G80" s="51"/>
      <c r="H80" s="51"/>
      <c r="I80" s="51"/>
      <c r="J80" s="52">
        <f t="shared" si="2"/>
        <v>0</v>
      </c>
      <c r="K80" s="53"/>
      <c r="L80" s="54"/>
      <c r="M80" s="54"/>
    </row>
    <row r="81" spans="1:13" ht="14.25" customHeight="1" x14ac:dyDescent="0.25">
      <c r="A81" s="59" t="s">
        <v>107</v>
      </c>
      <c r="B81" s="51"/>
      <c r="C81" s="51"/>
      <c r="D81" s="51"/>
      <c r="E81" s="51"/>
      <c r="F81" s="51"/>
      <c r="G81" s="51"/>
      <c r="H81" s="51"/>
      <c r="I81" s="51"/>
      <c r="J81" s="52">
        <f t="shared" si="2"/>
        <v>0</v>
      </c>
      <c r="K81" s="54">
        <f>J81+J80</f>
        <v>0</v>
      </c>
      <c r="L81" s="54">
        <f>SUM(J78:J81)</f>
        <v>0</v>
      </c>
      <c r="M81" s="54">
        <f>SUM(C78:I81)</f>
        <v>0</v>
      </c>
    </row>
    <row r="82" spans="1:13" ht="14.25" customHeight="1" x14ac:dyDescent="0.45">
      <c r="A82" s="60" t="s">
        <v>108</v>
      </c>
      <c r="B82" s="61">
        <f>SUM(B$14:B81)</f>
        <v>1</v>
      </c>
      <c r="C82" s="61">
        <f>SUM(C$14:C81)</f>
        <v>6</v>
      </c>
      <c r="D82" s="61">
        <f>SUM(D$14:D81)</f>
        <v>519</v>
      </c>
      <c r="E82" s="61">
        <f>SUM(E$14:E81)</f>
        <v>0</v>
      </c>
      <c r="F82" s="61">
        <f>SUM(F$14:F81)</f>
        <v>0</v>
      </c>
      <c r="G82" s="61">
        <f>SUM(G$14:G81)</f>
        <v>3</v>
      </c>
      <c r="H82" s="61">
        <f>SUM(H$14:H81)</f>
        <v>0</v>
      </c>
      <c r="I82" s="61">
        <f>SUM(I$14:I81)</f>
        <v>0</v>
      </c>
      <c r="J82" s="61">
        <f>SUM(B82:I82)</f>
        <v>529</v>
      </c>
      <c r="K82" s="62"/>
      <c r="L82" s="63"/>
      <c r="M82" s="63"/>
    </row>
    <row r="83" spans="1:13" ht="14.25" customHeight="1" x14ac:dyDescent="0.25">
      <c r="L83" s="64"/>
      <c r="M83" s="64"/>
    </row>
    <row r="84" spans="1:13" ht="14.25" customHeight="1" x14ac:dyDescent="0.25">
      <c r="L84" s="65"/>
      <c r="M84" s="65"/>
    </row>
    <row r="85" spans="1:13" ht="14.25" customHeight="1" x14ac:dyDescent="0.25">
      <c r="L85" s="65"/>
      <c r="M85" s="65"/>
    </row>
    <row r="86" spans="1:13" ht="14.25" customHeight="1" x14ac:dyDescent="0.25"/>
    <row r="87" spans="1:13" ht="14.25" customHeight="1" x14ac:dyDescent="0.25"/>
    <row r="88" spans="1:13" ht="14.25" customHeight="1" x14ac:dyDescent="0.25"/>
    <row r="89" spans="1:13" ht="14.25" customHeight="1" x14ac:dyDescent="0.25"/>
    <row r="90" spans="1:13" ht="14.25" customHeight="1" x14ac:dyDescent="0.25"/>
    <row r="91" spans="1:13" ht="14.25" customHeight="1" x14ac:dyDescent="0.25"/>
    <row r="92" spans="1:13" ht="14.25" customHeight="1" x14ac:dyDescent="0.25"/>
    <row r="93" spans="1:13" ht="14.25" customHeight="1" x14ac:dyDescent="0.25"/>
    <row r="94" spans="1:13" ht="14.25" customHeight="1" x14ac:dyDescent="0.25"/>
    <row r="95" spans="1:13" ht="14.25" customHeight="1" x14ac:dyDescent="0.25"/>
    <row r="96" spans="1:1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</sheetData>
  <mergeCells count="2">
    <mergeCell ref="A3:M3"/>
    <mergeCell ref="A4:M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81"/>
  <sheetViews>
    <sheetView zoomScale="85" zoomScaleNormal="85" workbookViewId="0"/>
  </sheetViews>
  <sheetFormatPr defaultColWidth="11.54296875" defaultRowHeight="12.75" customHeight="1" x14ac:dyDescent="0.25"/>
  <cols>
    <col min="2" max="2" width="7.90625" customWidth="1"/>
    <col min="3" max="9" width="8.08984375" customWidth="1"/>
    <col min="10" max="10" width="7.7265625" customWidth="1"/>
    <col min="11" max="11" width="9.1796875" customWidth="1"/>
    <col min="12" max="12" width="9.453125" customWidth="1"/>
    <col min="14" max="14" width="11.54296875" style="67"/>
  </cols>
  <sheetData>
    <row r="1" spans="1:13" ht="16" x14ac:dyDescent="0.4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3" ht="16" x14ac:dyDescent="0.4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1:13" ht="21" x14ac:dyDescent="0.55000000000000004">
      <c r="A3" s="4" t="s">
        <v>12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3" ht="17.5" x14ac:dyDescent="0.45">
      <c r="A4" s="3" t="s">
        <v>120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3" ht="16" x14ac:dyDescent="0.45">
      <c r="A5" s="69" t="s">
        <v>6</v>
      </c>
      <c r="B5" s="2">
        <f>Deckbl.!I11</f>
        <v>45944</v>
      </c>
      <c r="C5" s="2"/>
      <c r="D5" s="70"/>
      <c r="E5" s="70"/>
      <c r="F5" s="70"/>
      <c r="G5" s="71"/>
      <c r="H5" s="71"/>
      <c r="I5" s="71"/>
      <c r="J5" s="72" t="s">
        <v>3</v>
      </c>
      <c r="K5" s="73">
        <f>Deckbl.!C10</f>
        <v>0</v>
      </c>
      <c r="L5" s="74"/>
    </row>
    <row r="6" spans="1:13" ht="16" x14ac:dyDescent="0.45">
      <c r="A6" s="75"/>
      <c r="B6" s="61"/>
      <c r="C6" s="61"/>
      <c r="D6" s="61"/>
      <c r="E6" s="61"/>
      <c r="F6" s="61"/>
      <c r="G6" s="68"/>
      <c r="H6" s="68"/>
      <c r="I6" s="68"/>
      <c r="J6" s="76" t="s">
        <v>9</v>
      </c>
      <c r="K6" s="77" t="str">
        <f>Deckbl.!I12</f>
        <v>9-14 ° sonnig</v>
      </c>
      <c r="L6" s="78"/>
    </row>
    <row r="7" spans="1:13" ht="21" x14ac:dyDescent="0.55000000000000004">
      <c r="A7" s="79"/>
      <c r="B7" s="76" t="s">
        <v>14</v>
      </c>
      <c r="C7" s="80" t="str">
        <f>Deckbl.!C8</f>
        <v>B122 / Badhaller Straße / Holznerweg (Bad Hall)</v>
      </c>
      <c r="D7" s="76"/>
      <c r="E7" s="76"/>
      <c r="F7" s="76"/>
      <c r="H7" s="81"/>
      <c r="I7" s="76"/>
      <c r="J7" s="80"/>
      <c r="K7" s="61"/>
      <c r="L7" s="82"/>
    </row>
    <row r="8" spans="1:13" ht="16" x14ac:dyDescent="0.45">
      <c r="A8" s="79"/>
      <c r="B8" s="76" t="s">
        <v>15</v>
      </c>
      <c r="C8" s="76"/>
      <c r="D8" s="76"/>
      <c r="E8" s="76"/>
      <c r="F8" s="76"/>
      <c r="G8" s="68"/>
      <c r="H8" s="68"/>
      <c r="I8" s="76" t="s">
        <v>7</v>
      </c>
      <c r="J8" s="83" t="str">
        <f>Deckbl.!C12</f>
        <v>Schwap</v>
      </c>
      <c r="K8" s="84"/>
      <c r="L8" s="85"/>
    </row>
    <row r="9" spans="1:13" ht="16" x14ac:dyDescent="0.45">
      <c r="A9" s="79"/>
      <c r="B9" s="76" t="s">
        <v>17</v>
      </c>
      <c r="C9" s="76"/>
      <c r="D9" s="76"/>
      <c r="E9" s="76"/>
      <c r="F9" s="76"/>
      <c r="G9" s="86"/>
      <c r="H9" s="86"/>
      <c r="I9" s="76" t="s">
        <v>19</v>
      </c>
      <c r="J9" s="83" t="str">
        <f>Deckbl.!C11</f>
        <v>7-19 Uhr</v>
      </c>
      <c r="K9" s="61"/>
      <c r="L9" s="85"/>
    </row>
    <row r="10" spans="1:13" ht="16" x14ac:dyDescent="0.45">
      <c r="A10" s="87"/>
      <c r="B10" s="88" t="s">
        <v>20</v>
      </c>
      <c r="C10" s="89"/>
      <c r="D10" s="88"/>
      <c r="E10" s="88"/>
      <c r="F10" s="88"/>
      <c r="G10" s="90"/>
      <c r="H10" s="90"/>
      <c r="I10" s="88"/>
      <c r="J10" s="91"/>
      <c r="K10" s="92"/>
      <c r="L10" s="93"/>
    </row>
    <row r="11" spans="1:13" ht="16" x14ac:dyDescent="0.45">
      <c r="A11" s="94"/>
      <c r="B11" s="1" t="s">
        <v>121</v>
      </c>
      <c r="C11" s="1" t="s">
        <v>122</v>
      </c>
      <c r="D11" s="1" t="s">
        <v>122</v>
      </c>
      <c r="E11" s="1" t="s">
        <v>123</v>
      </c>
      <c r="F11" s="1" t="s">
        <v>123</v>
      </c>
      <c r="G11" s="1"/>
      <c r="H11" s="1"/>
      <c r="I11" s="1"/>
      <c r="J11" s="95" t="s">
        <v>124</v>
      </c>
      <c r="K11" s="95" t="s">
        <v>124</v>
      </c>
      <c r="L11" s="95" t="s">
        <v>124</v>
      </c>
    </row>
    <row r="12" spans="1:13" ht="16" x14ac:dyDescent="0.45">
      <c r="A12" s="94" t="s">
        <v>31</v>
      </c>
      <c r="B12" s="95" t="s">
        <v>125</v>
      </c>
      <c r="C12" s="95" t="s">
        <v>32</v>
      </c>
      <c r="D12" s="95" t="s">
        <v>125</v>
      </c>
      <c r="E12" s="95" t="s">
        <v>32</v>
      </c>
      <c r="F12" s="95" t="s">
        <v>125</v>
      </c>
      <c r="G12" s="95" t="s">
        <v>32</v>
      </c>
      <c r="H12" s="95"/>
      <c r="I12" s="95"/>
      <c r="J12" s="95" t="s">
        <v>37</v>
      </c>
      <c r="K12" s="95" t="s">
        <v>38</v>
      </c>
      <c r="L12" s="95" t="s">
        <v>39</v>
      </c>
    </row>
    <row r="13" spans="1:13" ht="13" x14ac:dyDescent="0.3">
      <c r="A13" s="50" t="s">
        <v>40</v>
      </c>
      <c r="B13" s="51"/>
      <c r="C13" s="51"/>
      <c r="D13" s="51"/>
      <c r="E13" s="51"/>
      <c r="F13" s="51"/>
      <c r="G13" s="51"/>
      <c r="H13" s="96"/>
      <c r="I13" s="96"/>
      <c r="J13" s="97">
        <f t="shared" ref="J13:J44" si="0">SUM(B13:I13)</f>
        <v>0</v>
      </c>
      <c r="K13" s="97"/>
      <c r="L13" s="97"/>
      <c r="M13" s="98"/>
    </row>
    <row r="14" spans="1:13" ht="13" x14ac:dyDescent="0.3">
      <c r="A14" s="50" t="s">
        <v>41</v>
      </c>
      <c r="B14" s="51"/>
      <c r="C14" s="51"/>
      <c r="D14" s="51"/>
      <c r="E14" s="51"/>
      <c r="F14" s="51"/>
      <c r="G14" s="51"/>
      <c r="H14" s="96"/>
      <c r="I14" s="96"/>
      <c r="J14" s="97">
        <f t="shared" si="0"/>
        <v>0</v>
      </c>
      <c r="K14" s="97">
        <f>J14+J13</f>
        <v>0</v>
      </c>
      <c r="L14" s="99"/>
      <c r="M14" s="98"/>
    </row>
    <row r="15" spans="1:13" ht="13" x14ac:dyDescent="0.3">
      <c r="A15" s="50" t="s">
        <v>42</v>
      </c>
      <c r="B15" s="51"/>
      <c r="C15" s="51"/>
      <c r="D15" s="51"/>
      <c r="E15" s="51"/>
      <c r="F15" s="51"/>
      <c r="G15" s="51"/>
      <c r="H15" s="96"/>
      <c r="I15" s="96"/>
      <c r="J15" s="97">
        <f t="shared" si="0"/>
        <v>0</v>
      </c>
      <c r="K15" s="97"/>
      <c r="L15" s="97"/>
      <c r="M15" s="98"/>
    </row>
    <row r="16" spans="1:13" ht="13" x14ac:dyDescent="0.3">
      <c r="A16" s="50" t="s">
        <v>43</v>
      </c>
      <c r="B16" s="51"/>
      <c r="C16" s="51"/>
      <c r="D16" s="51"/>
      <c r="E16" s="51"/>
      <c r="F16" s="51"/>
      <c r="G16" s="51"/>
      <c r="H16" s="96"/>
      <c r="I16" s="96"/>
      <c r="J16" s="97">
        <f t="shared" si="0"/>
        <v>0</v>
      </c>
      <c r="K16" s="97">
        <f>J16+J15</f>
        <v>0</v>
      </c>
      <c r="L16" s="97">
        <f>SUM(J13:J16)</f>
        <v>0</v>
      </c>
      <c r="M16" s="98"/>
    </row>
    <row r="17" spans="1:13" ht="13" x14ac:dyDescent="0.3">
      <c r="A17" s="50" t="s">
        <v>44</v>
      </c>
      <c r="B17" s="51"/>
      <c r="C17" s="51"/>
      <c r="D17" s="51"/>
      <c r="E17" s="51"/>
      <c r="F17" s="51"/>
      <c r="G17" s="51"/>
      <c r="H17" s="96"/>
      <c r="I17" s="96"/>
      <c r="J17" s="97">
        <f t="shared" si="0"/>
        <v>0</v>
      </c>
      <c r="K17" s="97"/>
      <c r="L17" s="97"/>
      <c r="M17" s="98"/>
    </row>
    <row r="18" spans="1:13" ht="13" x14ac:dyDescent="0.3">
      <c r="A18" s="50" t="s">
        <v>45</v>
      </c>
      <c r="B18" s="51"/>
      <c r="C18" s="51"/>
      <c r="D18" s="51"/>
      <c r="E18" s="51"/>
      <c r="F18" s="51"/>
      <c r="G18" s="51"/>
      <c r="H18" s="96"/>
      <c r="I18" s="96"/>
      <c r="J18" s="97">
        <f t="shared" si="0"/>
        <v>0</v>
      </c>
      <c r="K18" s="97">
        <f>J18+J17</f>
        <v>0</v>
      </c>
      <c r="L18" s="99"/>
      <c r="M18" s="98"/>
    </row>
    <row r="19" spans="1:13" ht="13" x14ac:dyDescent="0.3">
      <c r="A19" s="50" t="s">
        <v>46</v>
      </c>
      <c r="B19" s="51"/>
      <c r="C19" s="51"/>
      <c r="D19" s="51"/>
      <c r="E19" s="51"/>
      <c r="F19" s="51"/>
      <c r="G19" s="51"/>
      <c r="H19" s="96"/>
      <c r="I19" s="96"/>
      <c r="J19" s="97">
        <f t="shared" si="0"/>
        <v>0</v>
      </c>
      <c r="K19" s="97"/>
      <c r="L19" s="97"/>
      <c r="M19" s="98"/>
    </row>
    <row r="20" spans="1:13" ht="13" x14ac:dyDescent="0.3">
      <c r="A20" s="50" t="s">
        <v>47</v>
      </c>
      <c r="B20" s="51"/>
      <c r="C20" s="51"/>
      <c r="D20" s="51"/>
      <c r="E20" s="51"/>
      <c r="F20" s="51"/>
      <c r="G20" s="51"/>
      <c r="H20" s="96"/>
      <c r="I20" s="96"/>
      <c r="J20" s="97">
        <f t="shared" si="0"/>
        <v>0</v>
      </c>
      <c r="K20" s="97">
        <f>J20+J19</f>
        <v>0</v>
      </c>
      <c r="L20" s="97">
        <f>SUM(J17:J20)</f>
        <v>0</v>
      </c>
      <c r="M20" s="98"/>
    </row>
    <row r="21" spans="1:13" ht="13" x14ac:dyDescent="0.3">
      <c r="A21" s="50" t="s">
        <v>48</v>
      </c>
      <c r="B21" s="56">
        <v>11</v>
      </c>
      <c r="C21" s="56">
        <v>0</v>
      </c>
      <c r="D21" s="56">
        <v>1</v>
      </c>
      <c r="E21" s="56">
        <v>0</v>
      </c>
      <c r="F21" s="56">
        <v>10</v>
      </c>
      <c r="G21" s="56">
        <v>0</v>
      </c>
      <c r="H21" s="96"/>
      <c r="I21" s="96"/>
      <c r="J21" s="97">
        <f t="shared" si="0"/>
        <v>22</v>
      </c>
      <c r="K21" s="97"/>
      <c r="L21" s="97"/>
      <c r="M21" s="98"/>
    </row>
    <row r="22" spans="1:13" ht="13" x14ac:dyDescent="0.3">
      <c r="A22" s="50" t="s">
        <v>49</v>
      </c>
      <c r="B22" s="56">
        <v>41</v>
      </c>
      <c r="C22" s="56">
        <v>0</v>
      </c>
      <c r="D22" s="56">
        <v>11</v>
      </c>
      <c r="E22" s="56">
        <v>0</v>
      </c>
      <c r="F22" s="56">
        <v>2</v>
      </c>
      <c r="G22" s="56">
        <v>0</v>
      </c>
      <c r="H22" s="96"/>
      <c r="I22" s="96"/>
      <c r="J22" s="97">
        <f t="shared" si="0"/>
        <v>54</v>
      </c>
      <c r="K22" s="97">
        <f>J22+J21</f>
        <v>76</v>
      </c>
      <c r="L22" s="99"/>
      <c r="M22" s="98"/>
    </row>
    <row r="23" spans="1:13" ht="13" x14ac:dyDescent="0.3">
      <c r="A23" s="50" t="s">
        <v>50</v>
      </c>
      <c r="B23" s="56">
        <v>5</v>
      </c>
      <c r="C23" s="56">
        <v>2</v>
      </c>
      <c r="D23" s="56">
        <v>0</v>
      </c>
      <c r="E23" s="56">
        <v>2</v>
      </c>
      <c r="F23" s="56">
        <v>5</v>
      </c>
      <c r="G23" s="56">
        <v>0</v>
      </c>
      <c r="H23" s="96"/>
      <c r="I23" s="96"/>
      <c r="J23" s="97">
        <f t="shared" si="0"/>
        <v>14</v>
      </c>
      <c r="K23" s="97"/>
      <c r="L23" s="97"/>
      <c r="M23" s="98"/>
    </row>
    <row r="24" spans="1:13" ht="13" x14ac:dyDescent="0.3">
      <c r="A24" s="50" t="s">
        <v>51</v>
      </c>
      <c r="B24" s="56">
        <v>18</v>
      </c>
      <c r="C24" s="56">
        <v>0</v>
      </c>
      <c r="D24" s="56">
        <v>1</v>
      </c>
      <c r="E24" s="56">
        <v>0</v>
      </c>
      <c r="F24" s="56">
        <v>1</v>
      </c>
      <c r="G24" s="56">
        <v>0</v>
      </c>
      <c r="H24" s="96"/>
      <c r="I24" s="96"/>
      <c r="J24" s="97">
        <f t="shared" si="0"/>
        <v>20</v>
      </c>
      <c r="K24" s="97">
        <f>J24+J23</f>
        <v>34</v>
      </c>
      <c r="L24" s="97">
        <f>SUM(J21:J24)</f>
        <v>110</v>
      </c>
      <c r="M24" s="98"/>
    </row>
    <row r="25" spans="1:13" ht="13" x14ac:dyDescent="0.3">
      <c r="A25" s="50" t="s">
        <v>52</v>
      </c>
      <c r="B25" s="56">
        <v>1</v>
      </c>
      <c r="C25" s="56">
        <v>0</v>
      </c>
      <c r="D25" s="56">
        <v>0</v>
      </c>
      <c r="E25" s="56">
        <v>0</v>
      </c>
      <c r="F25" s="56">
        <v>1</v>
      </c>
      <c r="G25" s="56">
        <v>0</v>
      </c>
      <c r="H25" s="96"/>
      <c r="I25" s="96"/>
      <c r="J25" s="97">
        <f t="shared" si="0"/>
        <v>2</v>
      </c>
      <c r="K25" s="97"/>
      <c r="L25" s="97"/>
      <c r="M25" s="98"/>
    </row>
    <row r="26" spans="1:13" ht="13" x14ac:dyDescent="0.3">
      <c r="A26" s="50" t="s">
        <v>53</v>
      </c>
      <c r="B26" s="56">
        <v>2</v>
      </c>
      <c r="C26" s="56">
        <v>0</v>
      </c>
      <c r="D26" s="56">
        <v>0</v>
      </c>
      <c r="E26" s="56">
        <v>0</v>
      </c>
      <c r="F26" s="56">
        <v>0</v>
      </c>
      <c r="G26" s="56">
        <v>0</v>
      </c>
      <c r="H26" s="96"/>
      <c r="I26" s="96"/>
      <c r="J26" s="97">
        <f t="shared" si="0"/>
        <v>2</v>
      </c>
      <c r="K26" s="97">
        <f>J26+J25</f>
        <v>4</v>
      </c>
      <c r="L26" s="99"/>
      <c r="M26" s="98"/>
    </row>
    <row r="27" spans="1:13" ht="13" x14ac:dyDescent="0.3">
      <c r="A27" s="50" t="s">
        <v>54</v>
      </c>
      <c r="B27" s="56">
        <v>2</v>
      </c>
      <c r="C27" s="56">
        <v>0</v>
      </c>
      <c r="D27" s="56">
        <v>1</v>
      </c>
      <c r="E27" s="56">
        <v>0</v>
      </c>
      <c r="F27" s="56">
        <v>1</v>
      </c>
      <c r="G27" s="56">
        <v>0</v>
      </c>
      <c r="H27" s="96"/>
      <c r="I27" s="96"/>
      <c r="J27" s="97">
        <f t="shared" si="0"/>
        <v>4</v>
      </c>
      <c r="K27" s="97"/>
      <c r="L27" s="97"/>
      <c r="M27" s="98"/>
    </row>
    <row r="28" spans="1:13" ht="13" x14ac:dyDescent="0.3">
      <c r="A28" s="50" t="s">
        <v>55</v>
      </c>
      <c r="B28" s="56">
        <v>1</v>
      </c>
      <c r="C28" s="56">
        <v>0</v>
      </c>
      <c r="D28" s="56">
        <v>0</v>
      </c>
      <c r="E28" s="56">
        <v>0</v>
      </c>
      <c r="F28" s="56">
        <v>0</v>
      </c>
      <c r="G28" s="56">
        <v>0</v>
      </c>
      <c r="H28" s="96"/>
      <c r="I28" s="96"/>
      <c r="J28" s="97">
        <f t="shared" si="0"/>
        <v>1</v>
      </c>
      <c r="K28" s="97">
        <f>J28+J27</f>
        <v>5</v>
      </c>
      <c r="L28" s="97">
        <f>SUM(J25:J28)</f>
        <v>9</v>
      </c>
      <c r="M28" s="98"/>
    </row>
    <row r="29" spans="1:13" ht="13" x14ac:dyDescent="0.3">
      <c r="A29" s="50" t="s">
        <v>56</v>
      </c>
      <c r="B29" s="56">
        <v>22</v>
      </c>
      <c r="C29" s="56">
        <v>0</v>
      </c>
      <c r="D29" s="56">
        <v>2</v>
      </c>
      <c r="E29" s="56">
        <v>0</v>
      </c>
      <c r="F29" s="56">
        <v>0</v>
      </c>
      <c r="G29" s="56">
        <v>0</v>
      </c>
      <c r="H29" s="96"/>
      <c r="I29" s="96"/>
      <c r="J29" s="97">
        <f t="shared" si="0"/>
        <v>24</v>
      </c>
      <c r="K29" s="97"/>
      <c r="L29" s="97"/>
      <c r="M29" s="98"/>
    </row>
    <row r="30" spans="1:13" ht="13" x14ac:dyDescent="0.3">
      <c r="A30" s="50" t="s">
        <v>57</v>
      </c>
      <c r="B30" s="56">
        <v>1</v>
      </c>
      <c r="C30" s="56">
        <v>0</v>
      </c>
      <c r="D30" s="56">
        <v>0</v>
      </c>
      <c r="E30" s="56">
        <v>0</v>
      </c>
      <c r="F30" s="56">
        <v>4</v>
      </c>
      <c r="G30" s="56">
        <v>0</v>
      </c>
      <c r="H30" s="96"/>
      <c r="I30" s="96"/>
      <c r="J30" s="97">
        <f t="shared" si="0"/>
        <v>5</v>
      </c>
      <c r="K30" s="97">
        <f>J30+J29</f>
        <v>29</v>
      </c>
      <c r="L30" s="99"/>
      <c r="M30" s="98"/>
    </row>
    <row r="31" spans="1:13" ht="13" x14ac:dyDescent="0.3">
      <c r="A31" s="50" t="s">
        <v>58</v>
      </c>
      <c r="B31" s="56">
        <v>8</v>
      </c>
      <c r="C31" s="56">
        <v>0</v>
      </c>
      <c r="D31" s="56">
        <v>2</v>
      </c>
      <c r="E31" s="56">
        <v>0</v>
      </c>
      <c r="F31" s="56">
        <v>6</v>
      </c>
      <c r="G31" s="56">
        <v>0</v>
      </c>
      <c r="H31" s="96"/>
      <c r="I31" s="96"/>
      <c r="J31" s="97">
        <f t="shared" si="0"/>
        <v>16</v>
      </c>
      <c r="K31" s="97"/>
      <c r="L31" s="97"/>
      <c r="M31" s="98"/>
    </row>
    <row r="32" spans="1:13" ht="13" x14ac:dyDescent="0.3">
      <c r="A32" s="50" t="s">
        <v>59</v>
      </c>
      <c r="B32" s="56">
        <v>21</v>
      </c>
      <c r="C32" s="56">
        <v>1</v>
      </c>
      <c r="D32" s="56">
        <v>0</v>
      </c>
      <c r="E32" s="56">
        <v>0</v>
      </c>
      <c r="F32" s="56">
        <v>3</v>
      </c>
      <c r="G32" s="56">
        <v>1</v>
      </c>
      <c r="H32" s="96"/>
      <c r="I32" s="96"/>
      <c r="J32" s="97">
        <f t="shared" si="0"/>
        <v>26</v>
      </c>
      <c r="K32" s="97">
        <f>J32+J31</f>
        <v>42</v>
      </c>
      <c r="L32" s="97">
        <f>SUM(J29:J32)</f>
        <v>71</v>
      </c>
      <c r="M32" s="98"/>
    </row>
    <row r="33" spans="1:13" ht="13" x14ac:dyDescent="0.3">
      <c r="A33" s="50" t="s">
        <v>60</v>
      </c>
      <c r="B33" s="56">
        <v>7</v>
      </c>
      <c r="C33" s="56">
        <v>1</v>
      </c>
      <c r="D33" s="56">
        <v>2</v>
      </c>
      <c r="E33" s="56">
        <v>0</v>
      </c>
      <c r="F33" s="56">
        <v>0</v>
      </c>
      <c r="G33" s="56">
        <v>0</v>
      </c>
      <c r="H33" s="96"/>
      <c r="I33" s="96"/>
      <c r="J33" s="97">
        <f t="shared" si="0"/>
        <v>10</v>
      </c>
      <c r="K33" s="97"/>
      <c r="L33" s="97"/>
      <c r="M33" s="98"/>
    </row>
    <row r="34" spans="1:13" ht="13" x14ac:dyDescent="0.3">
      <c r="A34" s="50" t="s">
        <v>61</v>
      </c>
      <c r="B34" s="56">
        <v>6</v>
      </c>
      <c r="C34" s="56">
        <v>0</v>
      </c>
      <c r="D34" s="56">
        <v>2</v>
      </c>
      <c r="E34" s="56">
        <v>0</v>
      </c>
      <c r="F34" s="56">
        <v>2</v>
      </c>
      <c r="G34" s="56">
        <v>1</v>
      </c>
      <c r="H34" s="96"/>
      <c r="I34" s="96"/>
      <c r="J34" s="97">
        <f t="shared" si="0"/>
        <v>11</v>
      </c>
      <c r="K34" s="97">
        <f>J34+J33</f>
        <v>21</v>
      </c>
      <c r="L34" s="99"/>
      <c r="M34" s="98"/>
    </row>
    <row r="35" spans="1:13" ht="13" x14ac:dyDescent="0.3">
      <c r="A35" s="50" t="s">
        <v>62</v>
      </c>
      <c r="B35" s="56">
        <v>2</v>
      </c>
      <c r="C35" s="56">
        <v>0</v>
      </c>
      <c r="D35" s="56">
        <v>1</v>
      </c>
      <c r="E35" s="56">
        <v>0</v>
      </c>
      <c r="F35" s="56">
        <v>1</v>
      </c>
      <c r="G35" s="56">
        <v>0</v>
      </c>
      <c r="H35" s="96"/>
      <c r="I35" s="96"/>
      <c r="J35" s="97">
        <f t="shared" si="0"/>
        <v>4</v>
      </c>
      <c r="K35" s="97"/>
      <c r="L35" s="97"/>
      <c r="M35" s="98"/>
    </row>
    <row r="36" spans="1:13" ht="13" x14ac:dyDescent="0.3">
      <c r="A36" s="50" t="s">
        <v>63</v>
      </c>
      <c r="B36" s="56">
        <v>2</v>
      </c>
      <c r="C36" s="56">
        <v>0</v>
      </c>
      <c r="D36" s="56">
        <v>2</v>
      </c>
      <c r="E36" s="56">
        <v>0</v>
      </c>
      <c r="F36" s="56">
        <v>0</v>
      </c>
      <c r="G36" s="56">
        <v>0</v>
      </c>
      <c r="H36" s="96"/>
      <c r="I36" s="96"/>
      <c r="J36" s="97">
        <f t="shared" si="0"/>
        <v>4</v>
      </c>
      <c r="K36" s="97">
        <f>J36+J35</f>
        <v>8</v>
      </c>
      <c r="L36" s="97">
        <f>SUM(J33:J36)</f>
        <v>29</v>
      </c>
      <c r="M36" s="98"/>
    </row>
    <row r="37" spans="1:13" ht="13" x14ac:dyDescent="0.3">
      <c r="A37" s="50" t="s">
        <v>64</v>
      </c>
      <c r="B37" s="56">
        <v>6</v>
      </c>
      <c r="C37" s="56">
        <v>0</v>
      </c>
      <c r="D37" s="56">
        <v>3</v>
      </c>
      <c r="E37" s="56">
        <v>0</v>
      </c>
      <c r="F37" s="56">
        <v>1</v>
      </c>
      <c r="G37" s="56">
        <v>0</v>
      </c>
      <c r="H37" s="96"/>
      <c r="I37" s="96"/>
      <c r="J37" s="97">
        <f t="shared" si="0"/>
        <v>10</v>
      </c>
      <c r="K37" s="97"/>
      <c r="L37" s="97"/>
      <c r="M37" s="98"/>
    </row>
    <row r="38" spans="1:13" ht="13" x14ac:dyDescent="0.3">
      <c r="A38" s="50" t="s">
        <v>65</v>
      </c>
      <c r="B38" s="56">
        <v>22</v>
      </c>
      <c r="C38" s="56">
        <v>0</v>
      </c>
      <c r="D38" s="56">
        <v>1</v>
      </c>
      <c r="E38" s="56">
        <v>0</v>
      </c>
      <c r="F38" s="56">
        <v>0</v>
      </c>
      <c r="G38" s="56">
        <v>0</v>
      </c>
      <c r="H38" s="96"/>
      <c r="I38" s="96"/>
      <c r="J38" s="97">
        <f t="shared" si="0"/>
        <v>23</v>
      </c>
      <c r="K38" s="97">
        <f>J38+J37</f>
        <v>33</v>
      </c>
      <c r="L38" s="99"/>
      <c r="M38" s="98"/>
    </row>
    <row r="39" spans="1:13" ht="13" x14ac:dyDescent="0.3">
      <c r="A39" s="50" t="s">
        <v>66</v>
      </c>
      <c r="B39" s="56">
        <v>17</v>
      </c>
      <c r="C39" s="56">
        <v>2</v>
      </c>
      <c r="D39" s="56">
        <v>10</v>
      </c>
      <c r="E39" s="56">
        <v>0</v>
      </c>
      <c r="F39" s="56">
        <v>1</v>
      </c>
      <c r="G39" s="56">
        <v>1</v>
      </c>
      <c r="H39" s="96"/>
      <c r="I39" s="96"/>
      <c r="J39" s="97">
        <f t="shared" si="0"/>
        <v>31</v>
      </c>
      <c r="K39" s="97"/>
      <c r="L39" s="97"/>
      <c r="M39" s="98"/>
    </row>
    <row r="40" spans="1:13" ht="13" x14ac:dyDescent="0.3">
      <c r="A40" s="50" t="s">
        <v>67</v>
      </c>
      <c r="B40" s="56">
        <v>5</v>
      </c>
      <c r="C40" s="56">
        <v>0</v>
      </c>
      <c r="D40" s="56">
        <v>0</v>
      </c>
      <c r="E40" s="56">
        <v>0</v>
      </c>
      <c r="F40" s="56">
        <v>2</v>
      </c>
      <c r="G40" s="56">
        <v>0</v>
      </c>
      <c r="H40" s="96"/>
      <c r="I40" s="96"/>
      <c r="J40" s="97">
        <f t="shared" si="0"/>
        <v>7</v>
      </c>
      <c r="K40" s="97">
        <f>J40+J39</f>
        <v>38</v>
      </c>
      <c r="L40" s="97">
        <f>SUM(J37:J40)</f>
        <v>71</v>
      </c>
      <c r="M40" s="98"/>
    </row>
    <row r="41" spans="1:13" ht="13" x14ac:dyDescent="0.3">
      <c r="A41" s="50" t="s">
        <v>68</v>
      </c>
      <c r="B41" s="56">
        <v>3</v>
      </c>
      <c r="C41" s="56">
        <v>0</v>
      </c>
      <c r="D41" s="56">
        <v>1</v>
      </c>
      <c r="E41" s="56">
        <v>0</v>
      </c>
      <c r="F41" s="56">
        <v>1</v>
      </c>
      <c r="G41" s="56">
        <v>0</v>
      </c>
      <c r="H41" s="96"/>
      <c r="I41" s="96"/>
      <c r="J41" s="97">
        <f t="shared" si="0"/>
        <v>5</v>
      </c>
      <c r="K41" s="97"/>
      <c r="L41" s="97"/>
      <c r="M41" s="98"/>
    </row>
    <row r="42" spans="1:13" ht="13" x14ac:dyDescent="0.3">
      <c r="A42" s="50" t="s">
        <v>69</v>
      </c>
      <c r="B42" s="56">
        <v>4</v>
      </c>
      <c r="C42" s="56">
        <v>1</v>
      </c>
      <c r="D42" s="56">
        <v>0</v>
      </c>
      <c r="E42" s="56">
        <v>0</v>
      </c>
      <c r="F42" s="56">
        <v>2</v>
      </c>
      <c r="G42" s="56">
        <v>1</v>
      </c>
      <c r="H42" s="96"/>
      <c r="I42" s="96"/>
      <c r="J42" s="97">
        <f t="shared" si="0"/>
        <v>8</v>
      </c>
      <c r="K42" s="97">
        <f>J42+J41</f>
        <v>13</v>
      </c>
      <c r="L42" s="99"/>
      <c r="M42" s="98"/>
    </row>
    <row r="43" spans="1:13" ht="13" x14ac:dyDescent="0.3">
      <c r="A43" s="50" t="s">
        <v>70</v>
      </c>
      <c r="B43" s="56">
        <v>15</v>
      </c>
      <c r="C43" s="56">
        <v>1</v>
      </c>
      <c r="D43" s="56">
        <v>7</v>
      </c>
      <c r="E43" s="56">
        <v>1</v>
      </c>
      <c r="F43" s="56">
        <v>4</v>
      </c>
      <c r="G43" s="56">
        <v>0</v>
      </c>
      <c r="H43" s="96"/>
      <c r="I43" s="96"/>
      <c r="J43" s="97">
        <f t="shared" si="0"/>
        <v>28</v>
      </c>
      <c r="K43" s="97"/>
      <c r="L43" s="97"/>
      <c r="M43" s="98"/>
    </row>
    <row r="44" spans="1:13" ht="13" x14ac:dyDescent="0.3">
      <c r="A44" s="50" t="s">
        <v>71</v>
      </c>
      <c r="B44" s="56">
        <v>10</v>
      </c>
      <c r="C44" s="56">
        <v>0</v>
      </c>
      <c r="D44" s="56">
        <v>4</v>
      </c>
      <c r="E44" s="56">
        <v>0</v>
      </c>
      <c r="F44" s="56">
        <v>4</v>
      </c>
      <c r="G44" s="56">
        <v>0</v>
      </c>
      <c r="H44" s="96"/>
      <c r="I44" s="96"/>
      <c r="J44" s="97">
        <f t="shared" si="0"/>
        <v>18</v>
      </c>
      <c r="K44" s="97">
        <f>J44+J43</f>
        <v>46</v>
      </c>
      <c r="L44" s="97">
        <f>SUM(J41:J44)</f>
        <v>59</v>
      </c>
      <c r="M44" s="98"/>
    </row>
    <row r="45" spans="1:13" ht="13" x14ac:dyDescent="0.3">
      <c r="A45" s="50" t="s">
        <v>72</v>
      </c>
      <c r="B45" s="56">
        <v>2</v>
      </c>
      <c r="C45" s="56">
        <v>0</v>
      </c>
      <c r="D45" s="56">
        <v>1</v>
      </c>
      <c r="E45" s="56">
        <v>0</v>
      </c>
      <c r="F45" s="56">
        <v>2</v>
      </c>
      <c r="G45" s="56">
        <v>1</v>
      </c>
      <c r="H45" s="96"/>
      <c r="I45" s="96"/>
      <c r="J45" s="97">
        <f t="shared" ref="J45:J76" si="1">SUM(B45:I45)</f>
        <v>6</v>
      </c>
      <c r="K45" s="97"/>
      <c r="L45" s="97"/>
      <c r="M45" s="98"/>
    </row>
    <row r="46" spans="1:13" ht="13" x14ac:dyDescent="0.3">
      <c r="A46" s="50" t="s">
        <v>73</v>
      </c>
      <c r="B46" s="56">
        <v>21</v>
      </c>
      <c r="C46" s="56">
        <v>0</v>
      </c>
      <c r="D46" s="56">
        <v>19</v>
      </c>
      <c r="E46" s="56">
        <v>0</v>
      </c>
      <c r="F46" s="56">
        <v>30</v>
      </c>
      <c r="G46" s="56">
        <v>0</v>
      </c>
      <c r="H46" s="96"/>
      <c r="I46" s="96"/>
      <c r="J46" s="97">
        <f t="shared" si="1"/>
        <v>70</v>
      </c>
      <c r="K46" s="97">
        <f>J46+J45</f>
        <v>76</v>
      </c>
      <c r="L46" s="99"/>
      <c r="M46" s="98"/>
    </row>
    <row r="47" spans="1:13" ht="13" x14ac:dyDescent="0.3">
      <c r="A47" s="50" t="s">
        <v>74</v>
      </c>
      <c r="B47" s="56">
        <v>8</v>
      </c>
      <c r="C47" s="56">
        <v>0</v>
      </c>
      <c r="D47" s="56">
        <v>12</v>
      </c>
      <c r="E47" s="56">
        <v>0</v>
      </c>
      <c r="F47" s="56">
        <v>3</v>
      </c>
      <c r="G47" s="56">
        <v>0</v>
      </c>
      <c r="H47" s="96"/>
      <c r="I47" s="96"/>
      <c r="J47" s="97">
        <f t="shared" si="1"/>
        <v>23</v>
      </c>
      <c r="K47" s="97"/>
      <c r="L47" s="97"/>
      <c r="M47" s="98"/>
    </row>
    <row r="48" spans="1:13" ht="13" x14ac:dyDescent="0.3">
      <c r="A48" s="50" t="s">
        <v>75</v>
      </c>
      <c r="B48" s="56">
        <v>9</v>
      </c>
      <c r="C48" s="56">
        <v>0</v>
      </c>
      <c r="D48" s="56">
        <v>5</v>
      </c>
      <c r="E48" s="56">
        <v>0</v>
      </c>
      <c r="F48" s="56">
        <v>6</v>
      </c>
      <c r="G48" s="56">
        <v>0</v>
      </c>
      <c r="H48" s="96"/>
      <c r="I48" s="96"/>
      <c r="J48" s="97">
        <f t="shared" si="1"/>
        <v>20</v>
      </c>
      <c r="K48" s="97">
        <f>J48+J47</f>
        <v>43</v>
      </c>
      <c r="L48" s="97">
        <f>SUM(J45:J48)</f>
        <v>119</v>
      </c>
      <c r="M48" s="98"/>
    </row>
    <row r="49" spans="1:13" ht="13" x14ac:dyDescent="0.3">
      <c r="A49" s="50" t="s">
        <v>76</v>
      </c>
      <c r="B49" s="56">
        <v>8</v>
      </c>
      <c r="C49" s="56">
        <v>0</v>
      </c>
      <c r="D49" s="56">
        <v>6</v>
      </c>
      <c r="E49" s="56">
        <v>0</v>
      </c>
      <c r="F49" s="56">
        <v>2</v>
      </c>
      <c r="G49" s="56">
        <v>0</v>
      </c>
      <c r="H49" s="96"/>
      <c r="I49" s="96"/>
      <c r="J49" s="97">
        <f t="shared" si="1"/>
        <v>16</v>
      </c>
      <c r="K49" s="97"/>
      <c r="L49" s="97"/>
      <c r="M49" s="98"/>
    </row>
    <row r="50" spans="1:13" ht="13" x14ac:dyDescent="0.3">
      <c r="A50" s="50" t="s">
        <v>77</v>
      </c>
      <c r="B50" s="56">
        <v>4</v>
      </c>
      <c r="C50" s="56">
        <v>0</v>
      </c>
      <c r="D50" s="56">
        <v>1</v>
      </c>
      <c r="E50" s="56">
        <v>0</v>
      </c>
      <c r="F50" s="56">
        <v>4</v>
      </c>
      <c r="G50" s="56">
        <v>0</v>
      </c>
      <c r="H50" s="96"/>
      <c r="I50" s="96"/>
      <c r="J50" s="97">
        <f t="shared" si="1"/>
        <v>9</v>
      </c>
      <c r="K50" s="97">
        <f>J50+J49</f>
        <v>25</v>
      </c>
      <c r="L50" s="99"/>
      <c r="M50" s="98"/>
    </row>
    <row r="51" spans="1:13" ht="13" x14ac:dyDescent="0.3">
      <c r="A51" s="50" t="s">
        <v>78</v>
      </c>
      <c r="B51" s="56">
        <v>1</v>
      </c>
      <c r="C51" s="56">
        <v>0</v>
      </c>
      <c r="D51" s="56">
        <v>3</v>
      </c>
      <c r="E51" s="56">
        <v>0</v>
      </c>
      <c r="F51" s="56">
        <v>0</v>
      </c>
      <c r="G51" s="56">
        <v>0</v>
      </c>
      <c r="H51" s="96"/>
      <c r="I51" s="96"/>
      <c r="J51" s="97">
        <f t="shared" si="1"/>
        <v>4</v>
      </c>
      <c r="K51" s="97"/>
      <c r="L51" s="97"/>
      <c r="M51" s="98"/>
    </row>
    <row r="52" spans="1:13" ht="13" x14ac:dyDescent="0.3">
      <c r="A52" s="50" t="s">
        <v>79</v>
      </c>
      <c r="B52" s="56">
        <v>3</v>
      </c>
      <c r="C52" s="56">
        <v>0</v>
      </c>
      <c r="D52" s="56">
        <v>0</v>
      </c>
      <c r="E52" s="56">
        <v>0</v>
      </c>
      <c r="F52" s="56">
        <v>5</v>
      </c>
      <c r="G52" s="56">
        <v>0</v>
      </c>
      <c r="H52" s="96"/>
      <c r="I52" s="96"/>
      <c r="J52" s="97">
        <f t="shared" si="1"/>
        <v>8</v>
      </c>
      <c r="K52" s="97">
        <f>J52+J51</f>
        <v>12</v>
      </c>
      <c r="L52" s="97">
        <f>SUM(J49:J52)</f>
        <v>37</v>
      </c>
      <c r="M52" s="98"/>
    </row>
    <row r="53" spans="1:13" ht="13" x14ac:dyDescent="0.3">
      <c r="A53" s="50" t="s">
        <v>80</v>
      </c>
      <c r="B53" s="56">
        <v>7</v>
      </c>
      <c r="C53" s="56">
        <v>1</v>
      </c>
      <c r="D53" s="56">
        <v>2</v>
      </c>
      <c r="E53" s="56">
        <v>0</v>
      </c>
      <c r="F53" s="56">
        <v>2</v>
      </c>
      <c r="G53" s="56">
        <v>1</v>
      </c>
      <c r="H53" s="96"/>
      <c r="I53" s="96"/>
      <c r="J53" s="97">
        <f t="shared" si="1"/>
        <v>13</v>
      </c>
      <c r="K53" s="97"/>
      <c r="L53" s="97"/>
      <c r="M53" s="98"/>
    </row>
    <row r="54" spans="1:13" ht="13" x14ac:dyDescent="0.3">
      <c r="A54" s="50" t="s">
        <v>81</v>
      </c>
      <c r="B54" s="56">
        <v>4</v>
      </c>
      <c r="C54" s="56">
        <v>0</v>
      </c>
      <c r="D54" s="56">
        <v>2</v>
      </c>
      <c r="E54" s="56">
        <v>0</v>
      </c>
      <c r="F54" s="56">
        <v>2</v>
      </c>
      <c r="G54" s="56">
        <v>0</v>
      </c>
      <c r="H54" s="96"/>
      <c r="I54" s="96"/>
      <c r="J54" s="97">
        <f t="shared" si="1"/>
        <v>8</v>
      </c>
      <c r="K54" s="97">
        <f>J54+J53</f>
        <v>21</v>
      </c>
      <c r="L54" s="99"/>
      <c r="M54" s="98"/>
    </row>
    <row r="55" spans="1:13" ht="13" x14ac:dyDescent="0.3">
      <c r="A55" s="50" t="s">
        <v>82</v>
      </c>
      <c r="B55" s="56">
        <v>2</v>
      </c>
      <c r="C55" s="56">
        <v>0</v>
      </c>
      <c r="D55" s="56">
        <v>5</v>
      </c>
      <c r="E55" s="56">
        <v>0</v>
      </c>
      <c r="F55" s="56">
        <v>3</v>
      </c>
      <c r="G55" s="56">
        <v>0</v>
      </c>
      <c r="H55" s="96"/>
      <c r="I55" s="96"/>
      <c r="J55" s="97">
        <f t="shared" si="1"/>
        <v>10</v>
      </c>
      <c r="K55" s="97"/>
      <c r="L55" s="97"/>
      <c r="M55" s="98"/>
    </row>
    <row r="56" spans="1:13" ht="13" x14ac:dyDescent="0.3">
      <c r="A56" s="50" t="s">
        <v>83</v>
      </c>
      <c r="B56" s="56">
        <v>8</v>
      </c>
      <c r="C56" s="56">
        <v>0</v>
      </c>
      <c r="D56" s="56">
        <v>0</v>
      </c>
      <c r="E56" s="56">
        <v>0</v>
      </c>
      <c r="F56" s="56">
        <v>7</v>
      </c>
      <c r="G56" s="56">
        <v>0</v>
      </c>
      <c r="H56" s="96"/>
      <c r="I56" s="96"/>
      <c r="J56" s="97">
        <f t="shared" si="1"/>
        <v>15</v>
      </c>
      <c r="K56" s="97">
        <f>J56+J55</f>
        <v>25</v>
      </c>
      <c r="L56" s="97">
        <f>SUM(J53:J56)</f>
        <v>46</v>
      </c>
      <c r="M56" s="98"/>
    </row>
    <row r="57" spans="1:13" ht="13" x14ac:dyDescent="0.3">
      <c r="A57" s="50" t="s">
        <v>84</v>
      </c>
      <c r="B57" s="56">
        <v>10</v>
      </c>
      <c r="C57" s="56">
        <v>0</v>
      </c>
      <c r="D57" s="56">
        <v>4</v>
      </c>
      <c r="E57" s="56">
        <v>0</v>
      </c>
      <c r="F57" s="56">
        <v>23</v>
      </c>
      <c r="G57" s="56">
        <v>0</v>
      </c>
      <c r="H57" s="96"/>
      <c r="I57" s="96"/>
      <c r="J57" s="97">
        <f t="shared" si="1"/>
        <v>37</v>
      </c>
      <c r="K57" s="97"/>
      <c r="L57" s="97"/>
      <c r="M57" s="98"/>
    </row>
    <row r="58" spans="1:13" ht="13" x14ac:dyDescent="0.3">
      <c r="A58" s="50" t="s">
        <v>85</v>
      </c>
      <c r="B58" s="56">
        <v>12</v>
      </c>
      <c r="C58" s="56">
        <v>0</v>
      </c>
      <c r="D58" s="56">
        <v>16</v>
      </c>
      <c r="E58" s="56">
        <v>2</v>
      </c>
      <c r="F58" s="56">
        <v>6</v>
      </c>
      <c r="G58" s="56">
        <v>0</v>
      </c>
      <c r="H58" s="96"/>
      <c r="I58" s="96"/>
      <c r="J58" s="97">
        <f t="shared" si="1"/>
        <v>36</v>
      </c>
      <c r="K58" s="97">
        <f>J58+J57</f>
        <v>73</v>
      </c>
      <c r="L58" s="99"/>
      <c r="M58" s="98"/>
    </row>
    <row r="59" spans="1:13" ht="13" x14ac:dyDescent="0.3">
      <c r="A59" s="50" t="s">
        <v>86</v>
      </c>
      <c r="B59" s="56">
        <v>3</v>
      </c>
      <c r="C59" s="56">
        <v>0</v>
      </c>
      <c r="D59" s="56">
        <v>3</v>
      </c>
      <c r="E59" s="56">
        <v>0</v>
      </c>
      <c r="F59" s="56">
        <v>1</v>
      </c>
      <c r="G59" s="56">
        <v>0</v>
      </c>
      <c r="H59" s="96"/>
      <c r="I59" s="96"/>
      <c r="J59" s="97">
        <f t="shared" si="1"/>
        <v>7</v>
      </c>
      <c r="K59" s="97"/>
      <c r="L59" s="97"/>
      <c r="M59" s="98"/>
    </row>
    <row r="60" spans="1:13" ht="13" x14ac:dyDescent="0.3">
      <c r="A60" s="50" t="s">
        <v>87</v>
      </c>
      <c r="B60" s="56">
        <v>12</v>
      </c>
      <c r="C60" s="56">
        <v>0</v>
      </c>
      <c r="D60" s="56">
        <v>5</v>
      </c>
      <c r="E60" s="56">
        <v>0</v>
      </c>
      <c r="F60" s="56">
        <v>6</v>
      </c>
      <c r="G60" s="56">
        <v>0</v>
      </c>
      <c r="H60" s="96"/>
      <c r="I60" s="96"/>
      <c r="J60" s="97">
        <f t="shared" si="1"/>
        <v>23</v>
      </c>
      <c r="K60" s="97">
        <f>J60+J59</f>
        <v>30</v>
      </c>
      <c r="L60" s="97">
        <f>SUM(J57:J60)</f>
        <v>103</v>
      </c>
      <c r="M60" s="98"/>
    </row>
    <row r="61" spans="1:13" ht="13" x14ac:dyDescent="0.3">
      <c r="A61" s="50" t="s">
        <v>88</v>
      </c>
      <c r="B61" s="56">
        <v>5</v>
      </c>
      <c r="C61" s="56">
        <v>0</v>
      </c>
      <c r="D61" s="56">
        <v>1</v>
      </c>
      <c r="E61" s="56">
        <v>0</v>
      </c>
      <c r="F61" s="56">
        <v>2</v>
      </c>
      <c r="G61" s="56">
        <v>0</v>
      </c>
      <c r="H61" s="96"/>
      <c r="I61" s="96"/>
      <c r="J61" s="97">
        <f t="shared" si="1"/>
        <v>8</v>
      </c>
      <c r="K61" s="97"/>
      <c r="L61" s="97"/>
      <c r="M61" s="98"/>
    </row>
    <row r="62" spans="1:13" ht="13" x14ac:dyDescent="0.3">
      <c r="A62" s="50" t="s">
        <v>89</v>
      </c>
      <c r="B62" s="56">
        <v>6</v>
      </c>
      <c r="C62" s="56">
        <v>0</v>
      </c>
      <c r="D62" s="56">
        <v>2</v>
      </c>
      <c r="E62" s="56">
        <v>0</v>
      </c>
      <c r="F62" s="56">
        <v>5</v>
      </c>
      <c r="G62" s="56">
        <v>0</v>
      </c>
      <c r="H62" s="96"/>
      <c r="I62" s="96"/>
      <c r="J62" s="97">
        <f t="shared" si="1"/>
        <v>13</v>
      </c>
      <c r="K62" s="97">
        <f>J62+J61</f>
        <v>21</v>
      </c>
      <c r="L62" s="99"/>
      <c r="M62" s="98"/>
    </row>
    <row r="63" spans="1:13" ht="13" x14ac:dyDescent="0.3">
      <c r="A63" s="50" t="s">
        <v>90</v>
      </c>
      <c r="B63" s="56">
        <v>5</v>
      </c>
      <c r="C63" s="56">
        <v>1</v>
      </c>
      <c r="D63" s="56">
        <v>3</v>
      </c>
      <c r="E63" s="56">
        <v>0</v>
      </c>
      <c r="F63" s="56">
        <v>1</v>
      </c>
      <c r="G63" s="56">
        <v>1</v>
      </c>
      <c r="H63" s="96"/>
      <c r="I63" s="96"/>
      <c r="J63" s="97">
        <f t="shared" si="1"/>
        <v>11</v>
      </c>
      <c r="K63" s="97"/>
      <c r="L63" s="97"/>
      <c r="M63" s="98"/>
    </row>
    <row r="64" spans="1:13" ht="13" x14ac:dyDescent="0.3">
      <c r="A64" s="50" t="s">
        <v>91</v>
      </c>
      <c r="B64" s="56">
        <v>7</v>
      </c>
      <c r="C64" s="56">
        <v>1</v>
      </c>
      <c r="D64" s="56">
        <v>2</v>
      </c>
      <c r="E64" s="56">
        <v>0</v>
      </c>
      <c r="F64" s="56">
        <v>2</v>
      </c>
      <c r="G64" s="56">
        <v>0</v>
      </c>
      <c r="H64" s="96"/>
      <c r="I64" s="96"/>
      <c r="J64" s="97">
        <f t="shared" si="1"/>
        <v>12</v>
      </c>
      <c r="K64" s="97">
        <f>J64+J63</f>
        <v>23</v>
      </c>
      <c r="L64" s="97">
        <f>SUM(J61:J64)</f>
        <v>44</v>
      </c>
      <c r="M64" s="98"/>
    </row>
    <row r="65" spans="1:13" ht="13" x14ac:dyDescent="0.3">
      <c r="A65" s="50" t="s">
        <v>92</v>
      </c>
      <c r="B65" s="56">
        <v>8</v>
      </c>
      <c r="C65" s="56">
        <v>0</v>
      </c>
      <c r="D65" s="56">
        <v>2</v>
      </c>
      <c r="E65" s="56">
        <v>0</v>
      </c>
      <c r="F65" s="56">
        <v>0</v>
      </c>
      <c r="G65" s="56">
        <v>0</v>
      </c>
      <c r="H65" s="96"/>
      <c r="I65" s="96"/>
      <c r="J65" s="97">
        <f t="shared" si="1"/>
        <v>10</v>
      </c>
      <c r="K65" s="97"/>
      <c r="L65" s="97"/>
      <c r="M65" s="98"/>
    </row>
    <row r="66" spans="1:13" ht="13" x14ac:dyDescent="0.3">
      <c r="A66" s="50" t="s">
        <v>93</v>
      </c>
      <c r="B66" s="56">
        <v>3</v>
      </c>
      <c r="C66" s="56">
        <v>0</v>
      </c>
      <c r="D66" s="56">
        <v>1</v>
      </c>
      <c r="E66" s="56">
        <v>0</v>
      </c>
      <c r="F66" s="56">
        <v>0</v>
      </c>
      <c r="G66" s="56">
        <v>0</v>
      </c>
      <c r="H66" s="96"/>
      <c r="I66" s="96"/>
      <c r="J66" s="97">
        <f t="shared" si="1"/>
        <v>4</v>
      </c>
      <c r="K66" s="97">
        <f>J66+J65</f>
        <v>14</v>
      </c>
      <c r="L66" s="99"/>
      <c r="M66" s="98"/>
    </row>
    <row r="67" spans="1:13" ht="13" x14ac:dyDescent="0.3">
      <c r="A67" s="50" t="s">
        <v>94</v>
      </c>
      <c r="B67" s="56">
        <v>3</v>
      </c>
      <c r="C67" s="56">
        <v>0</v>
      </c>
      <c r="D67" s="56">
        <v>0</v>
      </c>
      <c r="E67" s="56">
        <v>0</v>
      </c>
      <c r="F67" s="56">
        <v>3</v>
      </c>
      <c r="G67" s="56">
        <v>0</v>
      </c>
      <c r="H67" s="96"/>
      <c r="I67" s="96"/>
      <c r="J67" s="97">
        <f t="shared" si="1"/>
        <v>6</v>
      </c>
      <c r="K67" s="97"/>
      <c r="L67" s="97"/>
      <c r="M67" s="98"/>
    </row>
    <row r="68" spans="1:13" ht="13" x14ac:dyDescent="0.3">
      <c r="A68" s="50" t="s">
        <v>95</v>
      </c>
      <c r="B68" s="56">
        <v>0</v>
      </c>
      <c r="C68" s="56">
        <v>0</v>
      </c>
      <c r="D68" s="56">
        <v>0</v>
      </c>
      <c r="E68" s="56">
        <v>0</v>
      </c>
      <c r="F68" s="56">
        <v>2</v>
      </c>
      <c r="G68" s="56">
        <v>0</v>
      </c>
      <c r="H68" s="96"/>
      <c r="I68" s="96"/>
      <c r="J68" s="97">
        <f t="shared" si="1"/>
        <v>2</v>
      </c>
      <c r="K68" s="97">
        <f>J68+J67</f>
        <v>8</v>
      </c>
      <c r="L68" s="97">
        <f>SUM(J65:J68)</f>
        <v>22</v>
      </c>
      <c r="M68" s="98"/>
    </row>
    <row r="69" spans="1:13" ht="13" x14ac:dyDescent="0.3">
      <c r="A69" s="50" t="s">
        <v>96</v>
      </c>
      <c r="B69" s="51"/>
      <c r="C69" s="51"/>
      <c r="D69" s="51"/>
      <c r="E69" s="51"/>
      <c r="F69" s="51"/>
      <c r="G69" s="51"/>
      <c r="H69" s="96"/>
      <c r="I69" s="96"/>
      <c r="J69" s="97">
        <f t="shared" si="1"/>
        <v>0</v>
      </c>
      <c r="K69" s="97"/>
      <c r="L69" s="97"/>
    </row>
    <row r="70" spans="1:13" ht="13" x14ac:dyDescent="0.3">
      <c r="A70" s="50" t="s">
        <v>97</v>
      </c>
      <c r="B70" s="51"/>
      <c r="C70" s="51"/>
      <c r="D70" s="51"/>
      <c r="E70" s="51"/>
      <c r="F70" s="51"/>
      <c r="G70" s="51"/>
      <c r="H70" s="96"/>
      <c r="I70" s="96"/>
      <c r="J70" s="97">
        <f t="shared" si="1"/>
        <v>0</v>
      </c>
      <c r="K70" s="97">
        <f>J70+J69</f>
        <v>0</v>
      </c>
      <c r="L70" s="99"/>
    </row>
    <row r="71" spans="1:13" ht="13" x14ac:dyDescent="0.3">
      <c r="A71" s="50" t="s">
        <v>98</v>
      </c>
      <c r="B71" s="51"/>
      <c r="C71" s="51"/>
      <c r="D71" s="51"/>
      <c r="E71" s="51"/>
      <c r="F71" s="51"/>
      <c r="G71" s="51"/>
      <c r="H71" s="96"/>
      <c r="I71" s="96"/>
      <c r="J71" s="97">
        <f t="shared" si="1"/>
        <v>0</v>
      </c>
      <c r="K71" s="97"/>
      <c r="L71" s="97"/>
    </row>
    <row r="72" spans="1:13" ht="13" x14ac:dyDescent="0.3">
      <c r="A72" s="58" t="s">
        <v>99</v>
      </c>
      <c r="B72" s="51"/>
      <c r="C72" s="51"/>
      <c r="D72" s="51"/>
      <c r="E72" s="51"/>
      <c r="F72" s="51"/>
      <c r="G72" s="51"/>
      <c r="H72" s="96"/>
      <c r="I72" s="96"/>
      <c r="J72" s="97">
        <f t="shared" si="1"/>
        <v>0</v>
      </c>
      <c r="K72" s="97">
        <f>J72+J71</f>
        <v>0</v>
      </c>
      <c r="L72" s="97">
        <f>SUM(J69:J72)</f>
        <v>0</v>
      </c>
    </row>
    <row r="73" spans="1:13" ht="13" x14ac:dyDescent="0.3">
      <c r="A73" s="59" t="s">
        <v>100</v>
      </c>
      <c r="B73" s="51"/>
      <c r="C73" s="51"/>
      <c r="D73" s="51"/>
      <c r="E73" s="51"/>
      <c r="F73" s="51"/>
      <c r="G73" s="51"/>
      <c r="H73" s="96"/>
      <c r="I73" s="96"/>
      <c r="J73" s="97">
        <f t="shared" si="1"/>
        <v>0</v>
      </c>
      <c r="K73" s="97"/>
      <c r="L73" s="97"/>
    </row>
    <row r="74" spans="1:13" ht="13" x14ac:dyDescent="0.3">
      <c r="A74" s="59" t="s">
        <v>101</v>
      </c>
      <c r="B74" s="51"/>
      <c r="C74" s="51"/>
      <c r="D74" s="51"/>
      <c r="E74" s="51"/>
      <c r="F74" s="51"/>
      <c r="G74" s="51"/>
      <c r="H74" s="96"/>
      <c r="I74" s="96"/>
      <c r="J74" s="97">
        <f t="shared" si="1"/>
        <v>0</v>
      </c>
      <c r="K74" s="97">
        <f>J74+J73</f>
        <v>0</v>
      </c>
      <c r="L74" s="99"/>
    </row>
    <row r="75" spans="1:13" ht="13" x14ac:dyDescent="0.3">
      <c r="A75" s="59" t="s">
        <v>102</v>
      </c>
      <c r="B75" s="51"/>
      <c r="C75" s="51"/>
      <c r="D75" s="51"/>
      <c r="E75" s="51"/>
      <c r="F75" s="51"/>
      <c r="G75" s="51"/>
      <c r="H75" s="96"/>
      <c r="I75" s="96"/>
      <c r="J75" s="97">
        <f t="shared" si="1"/>
        <v>0</v>
      </c>
      <c r="K75" s="97"/>
      <c r="L75" s="97"/>
    </row>
    <row r="76" spans="1:13" ht="13" x14ac:dyDescent="0.3">
      <c r="A76" s="59" t="s">
        <v>103</v>
      </c>
      <c r="B76" s="51"/>
      <c r="C76" s="51"/>
      <c r="D76" s="51"/>
      <c r="E76" s="51"/>
      <c r="F76" s="51"/>
      <c r="G76" s="51"/>
      <c r="H76" s="96"/>
      <c r="I76" s="96"/>
      <c r="J76" s="97">
        <f t="shared" si="1"/>
        <v>0</v>
      </c>
      <c r="K76" s="97">
        <f>J76+J75</f>
        <v>0</v>
      </c>
      <c r="L76" s="97">
        <f>SUM(J73:J76)</f>
        <v>0</v>
      </c>
    </row>
    <row r="77" spans="1:13" ht="13" x14ac:dyDescent="0.3">
      <c r="A77" s="59" t="s">
        <v>104</v>
      </c>
      <c r="B77" s="51"/>
      <c r="C77" s="51"/>
      <c r="D77" s="51"/>
      <c r="E77" s="51"/>
      <c r="F77" s="51"/>
      <c r="G77" s="51"/>
      <c r="H77" s="96"/>
      <c r="I77" s="96"/>
      <c r="J77" s="97">
        <f t="shared" ref="J77:J108" si="2">SUM(B77:I77)</f>
        <v>0</v>
      </c>
      <c r="K77" s="97"/>
      <c r="L77" s="97"/>
    </row>
    <row r="78" spans="1:13" ht="13" x14ac:dyDescent="0.3">
      <c r="A78" s="59" t="s">
        <v>105</v>
      </c>
      <c r="B78" s="51"/>
      <c r="C78" s="51"/>
      <c r="D78" s="51"/>
      <c r="E78" s="51"/>
      <c r="F78" s="51"/>
      <c r="G78" s="51"/>
      <c r="H78" s="96"/>
      <c r="I78" s="96"/>
      <c r="J78" s="97">
        <f t="shared" si="2"/>
        <v>0</v>
      </c>
      <c r="K78" s="97">
        <f>J78+J77</f>
        <v>0</v>
      </c>
      <c r="L78" s="99"/>
    </row>
    <row r="79" spans="1:13" ht="13" x14ac:dyDescent="0.3">
      <c r="A79" s="59" t="s">
        <v>106</v>
      </c>
      <c r="B79" s="51"/>
      <c r="C79" s="51"/>
      <c r="D79" s="51"/>
      <c r="E79" s="51"/>
      <c r="F79" s="51"/>
      <c r="G79" s="51"/>
      <c r="H79" s="96"/>
      <c r="I79" s="96"/>
      <c r="J79" s="97">
        <f t="shared" si="2"/>
        <v>0</v>
      </c>
      <c r="K79" s="97"/>
      <c r="L79" s="97"/>
    </row>
    <row r="80" spans="1:13" ht="13" x14ac:dyDescent="0.3">
      <c r="A80" s="59" t="s">
        <v>107</v>
      </c>
      <c r="B80" s="51"/>
      <c r="C80" s="51"/>
      <c r="D80" s="51"/>
      <c r="E80" s="51"/>
      <c r="F80" s="51"/>
      <c r="G80" s="51"/>
      <c r="H80" s="96"/>
      <c r="I80" s="96"/>
      <c r="J80" s="97">
        <f t="shared" si="2"/>
        <v>0</v>
      </c>
      <c r="K80" s="97">
        <f>J80+J79</f>
        <v>0</v>
      </c>
      <c r="L80" s="97">
        <f>SUM(J77:J80)</f>
        <v>0</v>
      </c>
    </row>
    <row r="81" spans="1:10" ht="16" x14ac:dyDescent="0.45">
      <c r="A81" s="60" t="s">
        <v>108</v>
      </c>
      <c r="B81" s="95">
        <f t="shared" ref="B81:G81" si="3">SUM(B13:B80)</f>
        <v>383</v>
      </c>
      <c r="C81" s="95">
        <f t="shared" si="3"/>
        <v>11</v>
      </c>
      <c r="D81" s="95">
        <f t="shared" si="3"/>
        <v>146</v>
      </c>
      <c r="E81" s="95">
        <f t="shared" si="3"/>
        <v>5</v>
      </c>
      <c r="F81" s="95">
        <f t="shared" si="3"/>
        <v>168</v>
      </c>
      <c r="G81" s="95">
        <f t="shared" si="3"/>
        <v>7</v>
      </c>
      <c r="H81" s="95"/>
      <c r="I81" s="95"/>
      <c r="J81" s="97">
        <f t="shared" si="2"/>
        <v>720</v>
      </c>
    </row>
  </sheetData>
  <mergeCells count="7">
    <mergeCell ref="A3:L3"/>
    <mergeCell ref="A4:L4"/>
    <mergeCell ref="B5:C5"/>
    <mergeCell ref="B11:C11"/>
    <mergeCell ref="D11:E11"/>
    <mergeCell ref="F11:G11"/>
    <mergeCell ref="H11:I1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zoomScale="85" zoomScaleNormal="85" workbookViewId="0">
      <selection activeCell="A14" sqref="A14"/>
    </sheetView>
  </sheetViews>
  <sheetFormatPr defaultColWidth="15.90625" defaultRowHeight="12.75" customHeight="1" x14ac:dyDescent="0.25"/>
  <cols>
    <col min="1" max="1" width="32.453125" customWidth="1"/>
    <col min="2" max="2" width="6.453125" customWidth="1"/>
    <col min="3" max="10" width="11.453125" customWidth="1"/>
    <col min="11" max="26" width="9.54296875" customWidth="1"/>
  </cols>
  <sheetData>
    <row r="1" spans="1:26" ht="14.25" customHeight="1" x14ac:dyDescent="0.3">
      <c r="A1" s="100" t="s">
        <v>126</v>
      </c>
      <c r="B1" s="101"/>
      <c r="C1" s="101"/>
      <c r="D1" s="101"/>
      <c r="E1" s="101"/>
      <c r="F1" s="101"/>
      <c r="G1" s="101"/>
      <c r="H1" s="101"/>
      <c r="I1" s="101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25" customHeight="1" x14ac:dyDescent="0.25">
      <c r="A3" s="102" t="s">
        <v>32</v>
      </c>
      <c r="B3" s="103">
        <v>0.5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25" customHeight="1" x14ac:dyDescent="0.25">
      <c r="A4" s="102" t="s">
        <v>127</v>
      </c>
      <c r="B4" s="103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.25" customHeight="1" x14ac:dyDescent="0.25">
      <c r="A5" s="104" t="s">
        <v>128</v>
      </c>
      <c r="B5" s="103">
        <v>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25" customHeight="1" x14ac:dyDescent="0.25">
      <c r="A6" s="104" t="s">
        <v>129</v>
      </c>
      <c r="B6" s="103">
        <v>1.5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25" customHeight="1" x14ac:dyDescent="0.25">
      <c r="A7" s="104" t="s">
        <v>130</v>
      </c>
      <c r="B7" s="103">
        <v>1.5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25" customHeight="1" x14ac:dyDescent="0.25">
      <c r="A8" s="104" t="s">
        <v>26</v>
      </c>
      <c r="B8" s="103">
        <v>1.5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4.25" customHeight="1" x14ac:dyDescent="0.25">
      <c r="A9" s="104" t="s">
        <v>131</v>
      </c>
      <c r="B9" s="103">
        <v>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.25" customHeight="1" x14ac:dyDescent="0.25">
      <c r="A10" s="104" t="s">
        <v>132</v>
      </c>
      <c r="B10" s="103">
        <v>1.5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.25" customHeight="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.25" customHeight="1" x14ac:dyDescent="0.3">
      <c r="A12" s="100" t="s">
        <v>133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.25" customHeight="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4.25" customHeight="1" x14ac:dyDescent="0.25">
      <c r="A14" s="105" t="s">
        <v>32</v>
      </c>
      <c r="B14" s="106">
        <v>0.3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4.25" customHeight="1" x14ac:dyDescent="0.25">
      <c r="A15" s="105" t="s">
        <v>134</v>
      </c>
      <c r="B15" s="106">
        <v>0.5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4.25" customHeight="1" x14ac:dyDescent="0.25">
      <c r="A16" s="105" t="s">
        <v>23</v>
      </c>
      <c r="B16" s="106">
        <v>1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.25" customHeight="1" x14ac:dyDescent="0.25">
      <c r="A17" s="105" t="s">
        <v>135</v>
      </c>
      <c r="B17" s="106">
        <v>2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4.25" customHeight="1" x14ac:dyDescent="0.25">
      <c r="A18" s="105" t="s">
        <v>136</v>
      </c>
      <c r="B18" s="106">
        <v>3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.25" customHeight="1" x14ac:dyDescent="0.25">
      <c r="A19" s="107" t="s">
        <v>137</v>
      </c>
      <c r="B19" s="106">
        <v>4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.25" customHeight="1" x14ac:dyDescent="0.25"/>
    <row r="21" spans="1:26" ht="14.25" customHeight="1" x14ac:dyDescent="0.25"/>
    <row r="22" spans="1:26" ht="14.25" customHeight="1" x14ac:dyDescent="0.25"/>
    <row r="23" spans="1:26" ht="14.25" customHeight="1" x14ac:dyDescent="0.25"/>
    <row r="24" spans="1:26" ht="14.25" customHeight="1" x14ac:dyDescent="0.25"/>
    <row r="25" spans="1:26" ht="14.25" customHeight="1" x14ac:dyDescent="0.25"/>
    <row r="26" spans="1:26" ht="14.25" customHeight="1" x14ac:dyDescent="0.25"/>
    <row r="27" spans="1:26" ht="14.25" customHeight="1" x14ac:dyDescent="0.25"/>
    <row r="28" spans="1:26" ht="14.25" customHeight="1" x14ac:dyDescent="0.25"/>
    <row r="29" spans="1:26" ht="14.25" customHeight="1" x14ac:dyDescent="0.25"/>
    <row r="30" spans="1:26" ht="14.25" customHeight="1" x14ac:dyDescent="0.25"/>
    <row r="31" spans="1:26" ht="14.25" customHeight="1" x14ac:dyDescent="0.25"/>
    <row r="32" spans="1:2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13</vt:i4>
      </vt:variant>
    </vt:vector>
  </HeadingPairs>
  <TitlesOfParts>
    <vt:vector size="28" baseType="lpstr">
      <vt:lpstr>Deckbl.</vt:lpstr>
      <vt:lpstr>R1</vt:lpstr>
      <vt:lpstr>R2</vt:lpstr>
      <vt:lpstr>R3</vt:lpstr>
      <vt:lpstr>R4</vt:lpstr>
      <vt:lpstr>R5</vt:lpstr>
      <vt:lpstr>R6</vt:lpstr>
      <vt:lpstr>R7</vt:lpstr>
      <vt:lpstr>R8</vt:lpstr>
      <vt:lpstr>R9</vt:lpstr>
      <vt:lpstr>R10</vt:lpstr>
      <vt:lpstr>R11</vt:lpstr>
      <vt:lpstr>R12</vt:lpstr>
      <vt:lpstr>FG</vt:lpstr>
      <vt:lpstr>Faktoren PKW-E</vt:lpstr>
      <vt:lpstr>Deckbl.!Print_Area</vt:lpstr>
      <vt:lpstr>'R1'!Print_Area</vt:lpstr>
      <vt:lpstr>'R10'!Print_Area</vt:lpstr>
      <vt:lpstr>'R11'!Print_Area</vt:lpstr>
      <vt:lpstr>'R12'!Print_Area</vt:lpstr>
      <vt:lpstr>'R2'!Print_Area</vt:lpstr>
      <vt:lpstr>'R3'!Print_Area</vt:lpstr>
      <vt:lpstr>'R4'!Print_Area</vt:lpstr>
      <vt:lpstr>'R5'!Print_Area</vt:lpstr>
      <vt:lpstr>'R6'!Print_Area</vt:lpstr>
      <vt:lpstr>'R7'!Print_Area</vt:lpstr>
      <vt:lpstr>'R8'!Print_Area</vt:lpstr>
      <vt:lpstr>'R9'!Print_Area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 Schwap</dc:creator>
  <dc:description/>
  <cp:lastModifiedBy>Cyril Barthelet</cp:lastModifiedBy>
  <cp:revision>333</cp:revision>
  <dcterms:created xsi:type="dcterms:W3CDTF">2025-10-09T10:04:28Z</dcterms:created>
  <dcterms:modified xsi:type="dcterms:W3CDTF">2026-01-12T09:59:32Z</dcterms:modified>
  <dc:language>de-DE</dc:language>
</cp:coreProperties>
</file>